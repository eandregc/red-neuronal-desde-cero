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rnes\OneDrive\Documentos\Universidad\TecAndre\Semestre8plus\Investigacion Coyright\Red Neuronal\"/>
    </mc:Choice>
  </mc:AlternateContent>
  <xr:revisionPtr revIDLastSave="0" documentId="13_ncr:1_{37274753-82D4-4905-9FF9-D27B977076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sos" sheetId="1" r:id="rId1"/>
    <sheet name="Comprobación" sheetId="2" r:id="rId2"/>
    <sheet name="Retropropagación" sheetId="3" r:id="rId3"/>
    <sheet name="Pesos iniciales" sheetId="4" r:id="rId4"/>
    <sheet name="Entrenamient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G12" i="3"/>
  <c r="K12" i="3" s="1"/>
  <c r="F12" i="3"/>
  <c r="J12" i="3" s="1"/>
  <c r="E12" i="3"/>
  <c r="I12" i="3" s="1"/>
  <c r="D12" i="3"/>
  <c r="H12" i="3" s="1"/>
  <c r="L12" i="3" s="1"/>
  <c r="M12" i="3" s="1"/>
  <c r="N12" i="3" s="1"/>
  <c r="G11" i="3"/>
  <c r="K11" i="3" s="1"/>
  <c r="F11" i="3"/>
  <c r="J11" i="3" s="1"/>
  <c r="E11" i="3"/>
  <c r="I11" i="3" s="1"/>
  <c r="D11" i="3"/>
  <c r="H11" i="3" s="1"/>
  <c r="L11" i="3" s="1"/>
  <c r="M11" i="3" s="1"/>
  <c r="N11" i="3" s="1"/>
  <c r="G10" i="3"/>
  <c r="K10" i="3" s="1"/>
  <c r="F10" i="3"/>
  <c r="J10" i="3" s="1"/>
  <c r="E10" i="3"/>
  <c r="I10" i="3" s="1"/>
  <c r="D10" i="3"/>
  <c r="H10" i="3" s="1"/>
  <c r="G9" i="3"/>
  <c r="K9" i="3" s="1"/>
  <c r="F9" i="3"/>
  <c r="J9" i="3" s="1"/>
  <c r="E9" i="3"/>
  <c r="I9" i="3" s="1"/>
  <c r="D9" i="3"/>
  <c r="H9" i="3" s="1"/>
  <c r="C5" i="3"/>
  <c r="C4" i="3"/>
  <c r="F12" i="2"/>
  <c r="G9" i="2"/>
  <c r="K9" i="2" s="1"/>
  <c r="F9" i="2"/>
  <c r="J9" i="2" s="1"/>
  <c r="E9" i="2"/>
  <c r="I9" i="2" s="1"/>
  <c r="D9" i="2"/>
  <c r="H9" i="2" s="1"/>
  <c r="L9" i="2" s="1"/>
  <c r="M9" i="2" s="1"/>
  <c r="G8" i="2"/>
  <c r="K8" i="2" s="1"/>
  <c r="F8" i="2"/>
  <c r="J8" i="2" s="1"/>
  <c r="E8" i="2"/>
  <c r="I8" i="2" s="1"/>
  <c r="D8" i="2"/>
  <c r="H8" i="2" s="1"/>
  <c r="L8" i="2" s="1"/>
  <c r="M8" i="2" s="1"/>
  <c r="G7" i="2"/>
  <c r="K7" i="2" s="1"/>
  <c r="F7" i="2"/>
  <c r="J7" i="2" s="1"/>
  <c r="E7" i="2"/>
  <c r="I7" i="2" s="1"/>
  <c r="D7" i="2"/>
  <c r="H7" i="2" s="1"/>
  <c r="G6" i="2"/>
  <c r="K6" i="2" s="1"/>
  <c r="F6" i="2"/>
  <c r="J6" i="2" s="1"/>
  <c r="E6" i="2"/>
  <c r="I6" i="2" s="1"/>
  <c r="D6" i="2"/>
  <c r="H6" i="2" s="1"/>
  <c r="O11" i="3" l="1"/>
  <c r="O12" i="3"/>
  <c r="L10" i="3"/>
  <c r="M10" i="3" s="1"/>
  <c r="N10" i="3" s="1"/>
  <c r="O10" i="3" s="1"/>
  <c r="L6" i="2"/>
  <c r="M6" i="2" s="1"/>
  <c r="P12" i="3"/>
  <c r="Q12" i="3"/>
  <c r="R12" i="3"/>
  <c r="S12" i="3"/>
  <c r="P11" i="3"/>
  <c r="Q11" i="3"/>
  <c r="R11" i="3"/>
  <c r="S11" i="3"/>
  <c r="P10" i="3"/>
  <c r="Q10" i="3"/>
  <c r="R10" i="3"/>
  <c r="S10" i="3"/>
  <c r="L9" i="3"/>
  <c r="M9" i="3" s="1"/>
  <c r="O9" i="2"/>
  <c r="P9" i="2"/>
  <c r="Q9" i="2" s="1"/>
  <c r="O8" i="2"/>
  <c r="P8" i="2"/>
  <c r="Q8" i="2" s="1"/>
  <c r="O6" i="2"/>
  <c r="P6" i="2"/>
  <c r="Q6" i="2" s="1"/>
  <c r="L7" i="2"/>
  <c r="M7" i="2" s="1"/>
  <c r="F11" i="2" s="1"/>
  <c r="N9" i="3" l="1"/>
  <c r="O9" i="3" s="1"/>
  <c r="C14" i="3"/>
  <c r="P7" i="2"/>
  <c r="Q7" i="2" s="1"/>
  <c r="F14" i="2" s="1"/>
  <c r="O7" i="2"/>
  <c r="F13" i="2" s="1"/>
  <c r="D30" i="3" l="1"/>
  <c r="E30" i="3" s="1"/>
  <c r="G30" i="3" s="1"/>
  <c r="D32" i="3"/>
  <c r="E32" i="3" s="1"/>
  <c r="G32" i="3" s="1"/>
  <c r="D33" i="3"/>
  <c r="E33" i="3" s="1"/>
  <c r="G33" i="3" s="1"/>
  <c r="D31" i="3"/>
  <c r="E31" i="3" s="1"/>
  <c r="G31" i="3" s="1"/>
  <c r="P9" i="3"/>
  <c r="Q9" i="3"/>
  <c r="R9" i="3"/>
  <c r="S9" i="3"/>
  <c r="D34" i="3"/>
  <c r="E34" i="3" s="1"/>
  <c r="G34" i="3" s="1"/>
  <c r="D18" i="3" l="1"/>
  <c r="E18" i="3" s="1"/>
  <c r="G18" i="3" s="1"/>
  <c r="D22" i="3"/>
  <c r="E22" i="3" s="1"/>
  <c r="G22" i="3" s="1"/>
  <c r="D26" i="3"/>
  <c r="E26" i="3" s="1"/>
  <c r="G26" i="3" s="1"/>
  <c r="D19" i="3"/>
  <c r="E19" i="3" s="1"/>
  <c r="G19" i="3" s="1"/>
  <c r="D27" i="3"/>
  <c r="E27" i="3" s="1"/>
  <c r="G27" i="3" s="1"/>
  <c r="D23" i="3"/>
  <c r="E23" i="3" s="1"/>
  <c r="G23" i="3" s="1"/>
  <c r="D20" i="3"/>
  <c r="E20" i="3" s="1"/>
  <c r="G20" i="3" s="1"/>
  <c r="D24" i="3"/>
  <c r="E24" i="3" s="1"/>
  <c r="G24" i="3" s="1"/>
  <c r="D28" i="3"/>
  <c r="E28" i="3" s="1"/>
  <c r="G28" i="3" s="1"/>
  <c r="D29" i="3"/>
  <c r="E29" i="3" s="1"/>
  <c r="G29" i="3" s="1"/>
  <c r="D21" i="3"/>
  <c r="E21" i="3" s="1"/>
  <c r="G21" i="3" s="1"/>
  <c r="D25" i="3"/>
  <c r="E25" i="3" s="1"/>
  <c r="G25" i="3" s="1"/>
  <c r="G36" i="3" l="1"/>
</calcChain>
</file>

<file path=xl/sharedStrings.xml><?xml version="1.0" encoding="utf-8"?>
<sst xmlns="http://schemas.openxmlformats.org/spreadsheetml/2006/main" count="144" uniqueCount="96">
  <si>
    <t>Red neuronal desde cero: pesos generados</t>
  </si>
  <si>
    <t>Pesos finales del entrenamiento. Las demás hojas los usan con fórmulas para comprobarlos.</t>
  </si>
  <si>
    <t>Parámetro</t>
  </si>
  <si>
    <t>Valor</t>
  </si>
  <si>
    <t>Compuerta</t>
  </si>
  <si>
    <t>XOR</t>
  </si>
  <si>
    <t>Arquitectura</t>
  </si>
  <si>
    <t>2-4-1</t>
  </si>
  <si>
    <t>Neuronas ocultas</t>
  </si>
  <si>
    <t>Función de activación</t>
  </si>
  <si>
    <t>Sigmoide σ(z) = 1 / (1 + e^(−z))</t>
  </si>
  <si>
    <t>Función de error</t>
  </si>
  <si>
    <t>ECM = (1/n) Σ (ŷ − y)²</t>
  </si>
  <si>
    <t>Épocas</t>
  </si>
  <si>
    <t>Tasa de aprendizaje (η)</t>
  </si>
  <si>
    <t>Semilla aleatoria</t>
  </si>
  <si>
    <t>ECM final (Python)</t>
  </si>
  <si>
    <t>Capa oculta: W1 (entrada → neurona oculta) y sesgos b1</t>
  </si>
  <si>
    <t>h1</t>
  </si>
  <si>
    <t>h2</t>
  </si>
  <si>
    <t>h3</t>
  </si>
  <si>
    <t>h4</t>
  </si>
  <si>
    <t>x1</t>
  </si>
  <si>
    <t>x2</t>
  </si>
  <si>
    <t>b1 (sesgo)</t>
  </si>
  <si>
    <t>Capa de salida: W2 (neurona oculta → salida) y sesgo b2</t>
  </si>
  <si>
    <t>ŷ</t>
  </si>
  <si>
    <t>b2 (sesgo)</t>
  </si>
  <si>
    <t>Valores generados por Python</t>
  </si>
  <si>
    <t>Fórmulas de Excel</t>
  </si>
  <si>
    <t>Referencias a otra hoja</t>
  </si>
  <si>
    <t>Comprobación: propagación hacia adelante</t>
  </si>
  <si>
    <t>Cada celda se calcula con fórmulas a partir de la hoja Pesos. ŷ (Excel) debe coincidir con ŷ (Python).</t>
  </si>
  <si>
    <t>Datos</t>
  </si>
  <si>
    <t>z = x·W1 + b1</t>
  </si>
  <si>
    <t>a = σ(z)</t>
  </si>
  <si>
    <t>Salida</t>
  </si>
  <si>
    <t>Comprobación</t>
  </si>
  <si>
    <t>y</t>
  </si>
  <si>
    <t>z_h1</t>
  </si>
  <si>
    <t>z_h2</t>
  </si>
  <si>
    <t>z_h3</t>
  </si>
  <si>
    <t>z_h4</t>
  </si>
  <si>
    <t>a_h1</t>
  </si>
  <si>
    <t>a_h2</t>
  </si>
  <si>
    <t>a_h3</t>
  </si>
  <si>
    <t>a_h4</t>
  </si>
  <si>
    <t>z_salida</t>
  </si>
  <si>
    <t>ŷ (Excel)</t>
  </si>
  <si>
    <t>ŷ (Python)</t>
  </si>
  <si>
    <t>|Diferencia|</t>
  </si>
  <si>
    <t>Clase</t>
  </si>
  <si>
    <t>¿Correcto?</t>
  </si>
  <si>
    <t>ECM (Excel)</t>
  </si>
  <si>
    <t>ECM (Python)</t>
  </si>
  <si>
    <t>Diferencia máxima Excel vs Python</t>
  </si>
  <si>
    <t>Exactitud</t>
  </si>
  <si>
    <t>Comprobación: retropropagación (primera época)</t>
  </si>
  <si>
    <t>Parte de los pesos iniciales, calcula los gradientes con la regla de la cadena y aplica un paso de descenso de gradiente con fórmulas.</t>
  </si>
  <si>
    <t>n (muestras)</t>
  </si>
  <si>
    <t>Retropropagación</t>
  </si>
  <si>
    <t>e = ŷ − y</t>
  </si>
  <si>
    <t>δ_salida</t>
  </si>
  <si>
    <t>δ_h1</t>
  </si>
  <si>
    <t>δ_h2</t>
  </si>
  <si>
    <t>δ_h3</t>
  </si>
  <si>
    <t>δ_h4</t>
  </si>
  <si>
    <t>ECM inicial (Excel)</t>
  </si>
  <si>
    <t>Actualización de parámetros: w ← w − η · ∂E/∂w</t>
  </si>
  <si>
    <t>Inicial</t>
  </si>
  <si>
    <t>∂E/∂w</t>
  </si>
  <si>
    <t>Nuevo (Excel)</t>
  </si>
  <si>
    <t>Python (1 época)</t>
  </si>
  <si>
    <t>W1[x1, h1]</t>
  </si>
  <si>
    <t>W1[x1, h2]</t>
  </si>
  <si>
    <t>W1[x1, h3]</t>
  </si>
  <si>
    <t>W1[x1, h4]</t>
  </si>
  <si>
    <t>W1[x2, h1]</t>
  </si>
  <si>
    <t>W1[x2, h2]</t>
  </si>
  <si>
    <t>W1[x2, h3]</t>
  </si>
  <si>
    <t>W1[x2, h4]</t>
  </si>
  <si>
    <t>b1[h1]</t>
  </si>
  <si>
    <t>b1[h2]</t>
  </si>
  <si>
    <t>b1[h3]</t>
  </si>
  <si>
    <t>b1[h4]</t>
  </si>
  <si>
    <t>W2[h1, ŷ]</t>
  </si>
  <si>
    <t>W2[h2, ŷ]</t>
  </si>
  <si>
    <t>W2[h3, ŷ]</t>
  </si>
  <si>
    <t>W2[h4, ŷ]</t>
  </si>
  <si>
    <t>b2</t>
  </si>
  <si>
    <t>Pesos iniciales</t>
  </si>
  <si>
    <t>Valores aleatorios uniformes en [−1, 1] generados con la semilla 42. La hoja Retropropagación parte de aquí.</t>
  </si>
  <si>
    <t>Curva de entrenamiento</t>
  </si>
  <si>
    <t>Error cuadrático medio cada 100 épocas (época 0 = pesos iniciales).</t>
  </si>
  <si>
    <t>Época</t>
  </si>
  <si>
    <t>ECM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</si>
</sst>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color rgb="FF595959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0000"/>
      <name val="Arial"/>
    </font>
    <font>
      <sz val="11"/>
      <color rgb="FF00800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/>
    <xf numFmtId="164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11" fontId="6" fillId="0" borderId="0" xfId="0" applyNumberFormat="1" applyFont="1"/>
    <xf numFmtId="0" fontId="6" fillId="0" borderId="0" xfId="0" applyFont="1" applyAlignment="1">
      <alignment horizontal="center"/>
    </xf>
    <xf numFmtId="11" fontId="7" fillId="0" borderId="0" xfId="0" applyNumberFormat="1" applyFont="1"/>
    <xf numFmtId="9" fontId="6" fillId="0" borderId="0" xfId="0" applyNumberFormat="1" applyFont="1"/>
    <xf numFmtId="164" fontId="7" fillId="0" borderId="0" xfId="0" applyNumberFormat="1" applyFont="1"/>
    <xf numFmtId="0" fontId="5" fillId="0" borderId="0" xfId="0" applyFont="1" applyAlignment="1">
      <alignment horizontal="left"/>
    </xf>
    <xf numFmtId="0" fontId="0" fillId="0" borderId="0" xfId="0"/>
    <xf numFmtId="11" fontId="5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ECM vs época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Entrenamiento!$B$4</c:f>
              <c:strCache>
                <c:ptCount val="1"/>
                <c:pt idx="0">
                  <c:v>ECM</c:v>
                </c:pt>
              </c:strCache>
            </c:strRef>
          </c:tx>
          <c:spPr>
            <a:ln w="25000"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Entrenamiento!$A$5:$A$105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Entrenamiento!$B$5:$B$105</c:f>
              <c:numCache>
                <c:formatCode>0.000000</c:formatCode>
                <c:ptCount val="101"/>
                <c:pt idx="0">
                  <c:v>0.25072542862933561</c:v>
                </c:pt>
                <c:pt idx="1">
                  <c:v>0.24870000484945309</c:v>
                </c:pt>
                <c:pt idx="2">
                  <c:v>0.24528970845577661</c:v>
                </c:pt>
                <c:pt idx="3">
                  <c:v>0.23477952335543059</c:v>
                </c:pt>
                <c:pt idx="4">
                  <c:v>0.20962000444903539</c:v>
                </c:pt>
                <c:pt idx="5">
                  <c:v>0.1720528005846228</c:v>
                </c:pt>
                <c:pt idx="6">
                  <c:v>0.1075970697574674</c:v>
                </c:pt>
                <c:pt idx="7">
                  <c:v>4.4194837970282071E-2</c:v>
                </c:pt>
                <c:pt idx="8">
                  <c:v>2.119666868813572E-2</c:v>
                </c:pt>
                <c:pt idx="9">
                  <c:v>1.26459405296104E-2</c:v>
                </c:pt>
                <c:pt idx="10">
                  <c:v>8.6560582487398459E-3</c:v>
                </c:pt>
                <c:pt idx="11">
                  <c:v>6.4509168507954576E-3</c:v>
                </c:pt>
                <c:pt idx="12">
                  <c:v>5.0839787572287418E-3</c:v>
                </c:pt>
                <c:pt idx="13">
                  <c:v>4.1659568693326937E-3</c:v>
                </c:pt>
                <c:pt idx="14">
                  <c:v>3.5124095510361609E-3</c:v>
                </c:pt>
                <c:pt idx="15">
                  <c:v>3.0262006782997902E-3</c:v>
                </c:pt>
                <c:pt idx="16">
                  <c:v>2.651864883889893E-3</c:v>
                </c:pt>
                <c:pt idx="17">
                  <c:v>2.3556569727484558E-3</c:v>
                </c:pt>
                <c:pt idx="18">
                  <c:v>2.1159737566108852E-3</c:v>
                </c:pt>
                <c:pt idx="19">
                  <c:v>1.9183962569843721E-3</c:v>
                </c:pt>
                <c:pt idx="20">
                  <c:v>1.7529604330257099E-3</c:v>
                </c:pt>
                <c:pt idx="21">
                  <c:v>1.6125756761472411E-3</c:v>
                </c:pt>
                <c:pt idx="22">
                  <c:v>1.4920678426922299E-3</c:v>
                </c:pt>
                <c:pt idx="23">
                  <c:v>1.3875783533201071E-3</c:v>
                </c:pt>
                <c:pt idx="24">
                  <c:v>1.2961746013536351E-3</c:v>
                </c:pt>
                <c:pt idx="25">
                  <c:v>1.2155902054916739E-3</c:v>
                </c:pt>
                <c:pt idx="26">
                  <c:v>1.144047519765003E-3</c:v>
                </c:pt>
                <c:pt idx="27">
                  <c:v>1.080133676778144E-3</c:v>
                </c:pt>
                <c:pt idx="28">
                  <c:v>1.022712315478042E-3</c:v>
                </c:pt>
                <c:pt idx="29">
                  <c:v>9.7085961147234208E-4</c:v>
                </c:pt>
                <c:pt idx="30">
                  <c:v>9.238171810851876E-4</c:v>
                </c:pt>
                <c:pt idx="31">
                  <c:v>8.8095690775564692E-4</c:v>
                </c:pt>
                <c:pt idx="32">
                  <c:v>8.4175432725918254E-4</c:v>
                </c:pt>
                <c:pt idx="33">
                  <c:v>8.0576824696351962E-4</c:v>
                </c:pt>
                <c:pt idx="34">
                  <c:v>7.726249666137764E-4</c:v>
                </c:pt>
                <c:pt idx="35">
                  <c:v>7.4200593747427985E-4</c:v>
                </c:pt>
                <c:pt idx="36">
                  <c:v>7.1363801987225114E-4</c:v>
                </c:pt>
                <c:pt idx="37">
                  <c:v>6.8728572502987874E-4</c:v>
                </c:pt>
                <c:pt idx="38">
                  <c:v>6.6274498700167228E-4</c:v>
                </c:pt>
                <c:pt idx="39">
                  <c:v>6.3983812520879678E-4</c:v>
                </c:pt>
                <c:pt idx="40">
                  <c:v>6.1840974124421954E-4</c:v>
                </c:pt>
                <c:pt idx="41">
                  <c:v>5.9832335461665223E-4</c:v>
                </c:pt>
                <c:pt idx="42">
                  <c:v>5.794586272801699E-4</c:v>
                </c:pt>
                <c:pt idx="43">
                  <c:v>5.6170906057874078E-4</c:v>
                </c:pt>
                <c:pt idx="44">
                  <c:v>5.4498007372182154E-4</c:v>
                </c:pt>
                <c:pt idx="45">
                  <c:v>5.2918739229660706E-4</c:v>
                </c:pt>
                <c:pt idx="46">
                  <c:v>5.1425569019053865E-4</c:v>
                </c:pt>
                <c:pt idx="47">
                  <c:v>5.0011743978337683E-4</c:v>
                </c:pt>
                <c:pt idx="48">
                  <c:v>4.8671193420411182E-4</c:v>
                </c:pt>
                <c:pt idx="49">
                  <c:v>4.7398445244637978E-4</c:v>
                </c:pt>
                <c:pt idx="50">
                  <c:v>4.6188554365211572E-4</c:v>
                </c:pt>
                <c:pt idx="51">
                  <c:v>4.5037041124672262E-4</c:v>
                </c:pt>
                <c:pt idx="52">
                  <c:v>4.3939838109690812E-4</c:v>
                </c:pt>
                <c:pt idx="53">
                  <c:v>4.289324406589287E-4</c:v>
                </c:pt>
                <c:pt idx="54">
                  <c:v>4.1893883833880961E-4</c:v>
                </c:pt>
                <c:pt idx="55">
                  <c:v>4.0938673411188752E-4</c:v>
                </c:pt>
                <c:pt idx="56">
                  <c:v>4.0024789393455052E-4</c:v>
                </c:pt>
                <c:pt idx="57">
                  <c:v>3.9149642169585832E-4</c:v>
                </c:pt>
                <c:pt idx="58">
                  <c:v>3.8310852345376471E-4</c:v>
                </c:pt>
                <c:pt idx="59">
                  <c:v>3.7506229952284951E-4</c:v>
                </c:pt>
                <c:pt idx="60">
                  <c:v>3.6733756066112551E-4</c:v>
                </c:pt>
                <c:pt idx="61">
                  <c:v>3.5991566516881173E-4</c:v>
                </c:pt>
                <c:pt idx="62">
                  <c:v>3.5277937418358798E-4</c:v>
                </c:pt>
                <c:pt idx="63">
                  <c:v>3.4591272285150991E-4</c:v>
                </c:pt>
                <c:pt idx="64">
                  <c:v>3.3930090538421401E-4</c:v>
                </c:pt>
                <c:pt idx="65">
                  <c:v>3.3293017229214431E-4</c:v>
                </c:pt>
                <c:pt idx="66">
                  <c:v>3.267877383196245E-4</c:v>
                </c:pt>
                <c:pt idx="67">
                  <c:v>3.2086169980757168E-4</c:v>
                </c:pt>
                <c:pt idx="68">
                  <c:v>3.1514096037973867E-4</c:v>
                </c:pt>
                <c:pt idx="69">
                  <c:v>3.0961516399335601E-4</c:v>
                </c:pt>
                <c:pt idx="70">
                  <c:v>3.0427463451905909E-4</c:v>
                </c:pt>
                <c:pt idx="71">
                  <c:v>2.991103211211872E-4</c:v>
                </c:pt>
                <c:pt idx="72">
                  <c:v>2.9411374880087708E-4</c:v>
                </c:pt>
                <c:pt idx="73">
                  <c:v>2.8927697354310072E-4</c:v>
                </c:pt>
                <c:pt idx="74">
                  <c:v>2.8459254157664363E-4</c:v>
                </c:pt>
                <c:pt idx="75">
                  <c:v>2.8005345231488639E-4</c:v>
                </c:pt>
                <c:pt idx="76">
                  <c:v>2.7565312459621719E-4</c:v>
                </c:pt>
                <c:pt idx="77">
                  <c:v>2.7138536588732442E-4</c:v>
                </c:pt>
                <c:pt idx="78">
                  <c:v>2.6724434415117141E-4</c:v>
                </c:pt>
                <c:pt idx="79">
                  <c:v>2.6322456211521429E-4</c:v>
                </c:pt>
                <c:pt idx="80">
                  <c:v>2.593208337049626E-4</c:v>
                </c:pt>
                <c:pt idx="81">
                  <c:v>2.5552826243380552E-4</c:v>
                </c:pt>
                <c:pt idx="82">
                  <c:v>2.5184222156273008E-4</c:v>
                </c:pt>
                <c:pt idx="83">
                  <c:v>2.4825833586356212E-4</c:v>
                </c:pt>
                <c:pt idx="84">
                  <c:v>2.4477246483691709E-4</c:v>
                </c:pt>
                <c:pt idx="85">
                  <c:v>2.4138068725165001E-4</c:v>
                </c:pt>
                <c:pt idx="86">
                  <c:v>2.3807928688625819E-4</c:v>
                </c:pt>
                <c:pt idx="87">
                  <c:v>2.3486473936490499E-4</c:v>
                </c:pt>
                <c:pt idx="88">
                  <c:v>2.317336999915449E-4</c:v>
                </c:pt>
                <c:pt idx="89">
                  <c:v>2.2868299249515281E-4</c:v>
                </c:pt>
                <c:pt idx="90">
                  <c:v>2.2570959860766259E-4</c:v>
                </c:pt>
                <c:pt idx="91">
                  <c:v>2.228106484037989E-4</c:v>
                </c:pt>
                <c:pt idx="92">
                  <c:v>2.1998341133874021E-4</c:v>
                </c:pt>
                <c:pt idx="93">
                  <c:v>2.17225287925682E-4</c:v>
                </c:pt>
                <c:pt idx="94">
                  <c:v>2.145338020007618E-4</c:v>
                </c:pt>
                <c:pt idx="95">
                  <c:v>2.1190659352762401E-4</c:v>
                </c:pt>
                <c:pt idx="96">
                  <c:v>2.0934141189836011E-4</c:v>
                </c:pt>
                <c:pt idx="97">
                  <c:v>2.0683610969141739E-4</c:v>
                </c:pt>
                <c:pt idx="98">
                  <c:v>2.043886368505943E-4</c:v>
                </c:pt>
                <c:pt idx="99">
                  <c:v>2.0199703525243699E-4</c:v>
                </c:pt>
                <c:pt idx="100">
                  <c:v>1.9965943363223519E-4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FB-4BBE-B6F5-536767A7C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Época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ECM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RowHeight="14.4" x14ac:dyDescent="0.3"/>
  <cols>
    <col min="1" max="1" width="26" customWidth="1"/>
    <col min="2" max="5" width="12" customWidth="1"/>
  </cols>
  <sheetData>
    <row r="1" spans="1:5" ht="17.399999999999999" x14ac:dyDescent="0.3">
      <c r="A1" s="1" t="s">
        <v>0</v>
      </c>
    </row>
    <row r="2" spans="1:5" x14ac:dyDescent="0.3">
      <c r="A2" s="2" t="s">
        <v>1</v>
      </c>
    </row>
    <row r="3" spans="1:5" x14ac:dyDescent="0.3">
      <c r="A3" s="3" t="s">
        <v>2</v>
      </c>
      <c r="B3" s="18" t="s">
        <v>3</v>
      </c>
      <c r="C3" s="16"/>
      <c r="D3" s="16"/>
      <c r="E3" s="16"/>
    </row>
    <row r="4" spans="1:5" x14ac:dyDescent="0.3">
      <c r="A4" s="4" t="s">
        <v>4</v>
      </c>
      <c r="B4" s="15" t="s">
        <v>5</v>
      </c>
      <c r="C4" s="16"/>
      <c r="D4" s="16"/>
      <c r="E4" s="16"/>
    </row>
    <row r="5" spans="1:5" x14ac:dyDescent="0.3">
      <c r="A5" s="4" t="s">
        <v>6</v>
      </c>
      <c r="B5" s="15" t="s">
        <v>7</v>
      </c>
      <c r="C5" s="16"/>
      <c r="D5" s="16"/>
      <c r="E5" s="16"/>
    </row>
    <row r="6" spans="1:5" x14ac:dyDescent="0.3">
      <c r="A6" s="4" t="s">
        <v>8</v>
      </c>
      <c r="B6" s="15">
        <v>4</v>
      </c>
      <c r="C6" s="16"/>
      <c r="D6" s="16"/>
      <c r="E6" s="16"/>
    </row>
    <row r="7" spans="1:5" x14ac:dyDescent="0.3">
      <c r="A7" s="4" t="s">
        <v>9</v>
      </c>
      <c r="B7" s="15" t="s">
        <v>10</v>
      </c>
      <c r="C7" s="16"/>
      <c r="D7" s="16"/>
      <c r="E7" s="16"/>
    </row>
    <row r="8" spans="1:5" x14ac:dyDescent="0.3">
      <c r="A8" s="4" t="s">
        <v>11</v>
      </c>
      <c r="B8" s="15" t="s">
        <v>12</v>
      </c>
      <c r="C8" s="16"/>
      <c r="D8" s="16"/>
      <c r="E8" s="16"/>
    </row>
    <row r="9" spans="1:5" x14ac:dyDescent="0.3">
      <c r="A9" s="4" t="s">
        <v>13</v>
      </c>
      <c r="B9" s="15">
        <v>10000</v>
      </c>
      <c r="C9" s="16"/>
      <c r="D9" s="16"/>
      <c r="E9" s="16"/>
    </row>
    <row r="10" spans="1:5" x14ac:dyDescent="0.3">
      <c r="A10" s="4" t="s">
        <v>14</v>
      </c>
      <c r="B10" s="15">
        <v>1</v>
      </c>
      <c r="C10" s="16"/>
      <c r="D10" s="16"/>
      <c r="E10" s="16"/>
    </row>
    <row r="11" spans="1:5" x14ac:dyDescent="0.3">
      <c r="A11" s="4" t="s">
        <v>15</v>
      </c>
      <c r="B11" s="15">
        <v>42</v>
      </c>
      <c r="C11" s="16"/>
      <c r="D11" s="16"/>
      <c r="E11" s="16"/>
    </row>
    <row r="12" spans="1:5" x14ac:dyDescent="0.3">
      <c r="A12" s="4" t="s">
        <v>16</v>
      </c>
      <c r="B12" s="17">
        <v>1.9965943363223519E-4</v>
      </c>
      <c r="C12" s="16"/>
      <c r="D12" s="16"/>
      <c r="E12" s="16"/>
    </row>
    <row r="15" spans="1:5" x14ac:dyDescent="0.3">
      <c r="A15" s="4" t="s">
        <v>17</v>
      </c>
    </row>
    <row r="16" spans="1:5" x14ac:dyDescent="0.3">
      <c r="A16" s="3"/>
      <c r="B16" s="3" t="s">
        <v>18</v>
      </c>
      <c r="C16" s="3" t="s">
        <v>19</v>
      </c>
      <c r="D16" s="3" t="s">
        <v>20</v>
      </c>
      <c r="E16" s="3" t="s">
        <v>21</v>
      </c>
    </row>
    <row r="17" spans="1:5" x14ac:dyDescent="0.3">
      <c r="A17" s="4" t="s">
        <v>22</v>
      </c>
      <c r="B17" s="5">
        <v>6.3397194027282833</v>
      </c>
      <c r="C17" s="5">
        <v>-4.2147883121628107</v>
      </c>
      <c r="D17" s="5">
        <v>2.5937277078927572</v>
      </c>
      <c r="E17" s="5">
        <v>3.432181299208279</v>
      </c>
    </row>
    <row r="18" spans="1:5" x14ac:dyDescent="0.3">
      <c r="A18" s="4" t="s">
        <v>23</v>
      </c>
      <c r="B18" s="5">
        <v>-6.3256616423982353</v>
      </c>
      <c r="C18" s="5">
        <v>4.3327087904888399</v>
      </c>
      <c r="D18" s="5">
        <v>-1.8953896030968329</v>
      </c>
      <c r="E18" s="5">
        <v>-3.3638339119538481</v>
      </c>
    </row>
    <row r="19" spans="1:5" x14ac:dyDescent="0.3">
      <c r="A19" s="4" t="s">
        <v>24</v>
      </c>
      <c r="B19" s="5">
        <v>-3.3424358850331761</v>
      </c>
      <c r="C19" s="5">
        <v>-2.578712214636389</v>
      </c>
      <c r="D19" s="5">
        <v>1.1736480123765189</v>
      </c>
      <c r="E19" s="5">
        <v>2.0774854827936848</v>
      </c>
    </row>
    <row r="21" spans="1:5" x14ac:dyDescent="0.3">
      <c r="A21" s="4" t="s">
        <v>25</v>
      </c>
    </row>
    <row r="22" spans="1:5" x14ac:dyDescent="0.3">
      <c r="A22" s="3"/>
      <c r="B22" s="3" t="s">
        <v>26</v>
      </c>
    </row>
    <row r="23" spans="1:5" x14ac:dyDescent="0.3">
      <c r="A23" s="4" t="s">
        <v>18</v>
      </c>
      <c r="B23" s="5">
        <v>10.56553656371867</v>
      </c>
    </row>
    <row r="24" spans="1:5" x14ac:dyDescent="0.3">
      <c r="A24" s="4" t="s">
        <v>19</v>
      </c>
      <c r="B24" s="5">
        <v>6.4646263062138729</v>
      </c>
    </row>
    <row r="25" spans="1:5" x14ac:dyDescent="0.3">
      <c r="A25" s="4" t="s">
        <v>20</v>
      </c>
      <c r="B25" s="5">
        <v>-2.2752758305483591</v>
      </c>
    </row>
    <row r="26" spans="1:5" x14ac:dyDescent="0.3">
      <c r="A26" s="4" t="s">
        <v>21</v>
      </c>
      <c r="B26" s="5">
        <v>-4.1685687555791766</v>
      </c>
    </row>
    <row r="27" spans="1:5" x14ac:dyDescent="0.3">
      <c r="A27" s="4" t="s">
        <v>27</v>
      </c>
      <c r="B27" s="5">
        <v>0.46464897206849382</v>
      </c>
    </row>
    <row r="29" spans="1:5" x14ac:dyDescent="0.3">
      <c r="A29" s="6" t="s">
        <v>28</v>
      </c>
    </row>
    <row r="30" spans="1:5" x14ac:dyDescent="0.3">
      <c r="A30" s="7" t="s">
        <v>29</v>
      </c>
    </row>
    <row r="31" spans="1:5" x14ac:dyDescent="0.3">
      <c r="A31" s="8" t="s">
        <v>30</v>
      </c>
    </row>
  </sheetData>
  <mergeCells count="10">
    <mergeCell ref="B3:E3"/>
    <mergeCell ref="B5:E5"/>
    <mergeCell ref="B10:E10"/>
    <mergeCell ref="B9:E9"/>
    <mergeCell ref="B8:E8"/>
    <mergeCell ref="B4:E4"/>
    <mergeCell ref="B12:E12"/>
    <mergeCell ref="B6:E6"/>
    <mergeCell ref="B7:E7"/>
    <mergeCell ref="B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3" width="9" customWidth="1"/>
    <col min="4" max="17" width="12" customWidth="1"/>
  </cols>
  <sheetData>
    <row r="1" spans="1:17" ht="17.399999999999999" x14ac:dyDescent="0.3">
      <c r="A1" s="1" t="s">
        <v>31</v>
      </c>
    </row>
    <row r="2" spans="1:17" x14ac:dyDescent="0.3">
      <c r="A2" s="2" t="s">
        <v>32</v>
      </c>
    </row>
    <row r="4" spans="1:17" x14ac:dyDescent="0.3">
      <c r="A4" s="19" t="s">
        <v>33</v>
      </c>
      <c r="B4" s="16"/>
      <c r="C4" s="16"/>
      <c r="D4" s="19" t="s">
        <v>34</v>
      </c>
      <c r="E4" s="16"/>
      <c r="F4" s="16"/>
      <c r="G4" s="16"/>
      <c r="H4" s="19" t="s">
        <v>35</v>
      </c>
      <c r="I4" s="16"/>
      <c r="J4" s="16"/>
      <c r="K4" s="16"/>
      <c r="L4" s="19" t="s">
        <v>36</v>
      </c>
      <c r="M4" s="16"/>
      <c r="N4" s="19" t="s">
        <v>37</v>
      </c>
      <c r="O4" s="16"/>
      <c r="P4" s="16"/>
      <c r="Q4" s="16"/>
    </row>
    <row r="5" spans="1:17" x14ac:dyDescent="0.3">
      <c r="A5" s="3" t="s">
        <v>22</v>
      </c>
      <c r="B5" s="3" t="s">
        <v>23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47</v>
      </c>
      <c r="M5" s="3" t="s">
        <v>48</v>
      </c>
      <c r="N5" s="3" t="s">
        <v>49</v>
      </c>
      <c r="O5" s="3" t="s">
        <v>50</v>
      </c>
      <c r="P5" s="3" t="s">
        <v>51</v>
      </c>
      <c r="Q5" s="3" t="s">
        <v>52</v>
      </c>
    </row>
    <row r="6" spans="1:17" x14ac:dyDescent="0.3">
      <c r="A6" s="6">
        <v>0</v>
      </c>
      <c r="B6" s="6">
        <v>0</v>
      </c>
      <c r="C6" s="6">
        <v>0</v>
      </c>
      <c r="D6" s="9">
        <f>A6*Pesos!$B$17+B6*Pesos!$B$18+Pesos!$B$19</f>
        <v>-3.3424358850331761</v>
      </c>
      <c r="E6" s="9">
        <f>A6*Pesos!$C$17+B6*Pesos!$C$18+Pesos!$C$19</f>
        <v>-2.578712214636389</v>
      </c>
      <c r="F6" s="9">
        <f>A6*Pesos!$D$17+B6*Pesos!$D$18+Pesos!$D$19</f>
        <v>1.1736480123765189</v>
      </c>
      <c r="G6" s="9">
        <f>A6*Pesos!$E$17+B6*Pesos!$E$18+Pesos!$E$19</f>
        <v>2.0774854827936848</v>
      </c>
      <c r="H6" s="9">
        <f t="shared" ref="H6:K9" si="0">1/(1+EXP(-D6))</f>
        <v>3.4143735998236301E-2</v>
      </c>
      <c r="I6" s="9">
        <f t="shared" si="0"/>
        <v>7.052109580959609E-2</v>
      </c>
      <c r="J6" s="9">
        <f t="shared" si="0"/>
        <v>0.76380377799857335</v>
      </c>
      <c r="K6" s="9">
        <f t="shared" si="0"/>
        <v>0.88869555087922603</v>
      </c>
      <c r="L6" s="9">
        <f>H6*Pesos!$B$23+I6*Pesos!$B$24+J6*Pesos!$B$25+K6*Pesos!$B$26+Pesos!$B$27</f>
        <v>-4.161164387685484</v>
      </c>
      <c r="M6" s="9">
        <f>1/(1+EXP(-L6))</f>
        <v>1.5350096526147324E-2</v>
      </c>
      <c r="N6" s="5">
        <v>1.535009652614731E-2</v>
      </c>
      <c r="O6" s="10">
        <f>ABS(M6-N6)</f>
        <v>1.3877787807814457E-17</v>
      </c>
      <c r="P6" s="11">
        <f>IF(M6&gt;=0.5,1,0)</f>
        <v>0</v>
      </c>
      <c r="Q6" s="11" t="str">
        <f>IF(P6=C6,"Sí","No")</f>
        <v>Sí</v>
      </c>
    </row>
    <row r="7" spans="1:17" x14ac:dyDescent="0.3">
      <c r="A7" s="6">
        <v>0</v>
      </c>
      <c r="B7" s="6">
        <v>1</v>
      </c>
      <c r="C7" s="6">
        <v>1</v>
      </c>
      <c r="D7" s="9">
        <f>A7*Pesos!$B$17+B7*Pesos!$B$18+Pesos!$B$19</f>
        <v>-9.6680975274314118</v>
      </c>
      <c r="E7" s="9">
        <f>A7*Pesos!$C$17+B7*Pesos!$C$18+Pesos!$C$19</f>
        <v>1.7539965758524509</v>
      </c>
      <c r="F7" s="9">
        <f>A7*Pesos!$D$17+B7*Pesos!$D$18+Pesos!$D$19</f>
        <v>-0.72174159072031396</v>
      </c>
      <c r="G7" s="9">
        <f>A7*Pesos!$E$17+B7*Pesos!$E$18+Pesos!$E$19</f>
        <v>-1.2863484291601632</v>
      </c>
      <c r="H7" s="9">
        <f t="shared" si="0"/>
        <v>6.326610770282512E-5</v>
      </c>
      <c r="I7" s="9">
        <f t="shared" si="0"/>
        <v>0.85245617826181053</v>
      </c>
      <c r="J7" s="9">
        <f t="shared" si="0"/>
        <v>0.32700958813157199</v>
      </c>
      <c r="K7" s="9">
        <f t="shared" si="0"/>
        <v>0.21647151834506259</v>
      </c>
      <c r="L7" s="9">
        <f>H7*Pesos!$B$23+I7*Pesos!$B$24+J7*Pesos!$B$25+K7*Pesos!$B$26+Pesos!$B$27</f>
        <v>4.3297146272491629</v>
      </c>
      <c r="M7" s="9">
        <f>1/(1+EXP(-L7))</f>
        <v>0.98699992231162303</v>
      </c>
      <c r="N7" s="5">
        <v>0.98699992231162303</v>
      </c>
      <c r="O7" s="10">
        <f>ABS(M7-N7)</f>
        <v>0</v>
      </c>
      <c r="P7" s="11">
        <f>IF(M7&gt;=0.5,1,0)</f>
        <v>1</v>
      </c>
      <c r="Q7" s="11" t="str">
        <f>IF(P7=C7,"Sí","No")</f>
        <v>Sí</v>
      </c>
    </row>
    <row r="8" spans="1:17" x14ac:dyDescent="0.3">
      <c r="A8" s="6">
        <v>1</v>
      </c>
      <c r="B8" s="6">
        <v>0</v>
      </c>
      <c r="C8" s="6">
        <v>1</v>
      </c>
      <c r="D8" s="9">
        <f>A8*Pesos!$B$17+B8*Pesos!$B$18+Pesos!$B$19</f>
        <v>2.9972835176951071</v>
      </c>
      <c r="E8" s="9">
        <f>A8*Pesos!$C$17+B8*Pesos!$C$18+Pesos!$C$19</f>
        <v>-6.7935005267991997</v>
      </c>
      <c r="F8" s="9">
        <f>A8*Pesos!$D$17+B8*Pesos!$D$18+Pesos!$D$19</f>
        <v>3.7673757202692761</v>
      </c>
      <c r="G8" s="9">
        <f>A8*Pesos!$E$17+B8*Pesos!$E$18+Pesos!$E$19</f>
        <v>5.5096667820019638</v>
      </c>
      <c r="H8" s="9">
        <f t="shared" si="0"/>
        <v>0.95245125424050658</v>
      </c>
      <c r="I8" s="9">
        <f t="shared" si="0"/>
        <v>1.1197823570948057E-3</v>
      </c>
      <c r="J8" s="9">
        <f t="shared" si="0"/>
        <v>0.97740948851253473</v>
      </c>
      <c r="K8" s="9">
        <f t="shared" si="0"/>
        <v>0.99596886001740181</v>
      </c>
      <c r="L8" s="9">
        <f>H8*Pesos!$B$23+I8*Pesos!$B$24+J8*Pesos!$B$25+K8*Pesos!$B$26+Pesos!$B$27</f>
        <v>4.1594056412296254</v>
      </c>
      <c r="M8" s="9">
        <f>1/(1+EXP(-L8))</f>
        <v>0.98462329828066064</v>
      </c>
      <c r="N8" s="5">
        <v>0.98462329828066042</v>
      </c>
      <c r="O8" s="10">
        <f>ABS(M8-N8)</f>
        <v>2.2204460492503131E-16</v>
      </c>
      <c r="P8" s="11">
        <f>IF(M8&gt;=0.5,1,0)</f>
        <v>1</v>
      </c>
      <c r="Q8" s="11" t="str">
        <f>IF(P8=C8,"Sí","No")</f>
        <v>Sí</v>
      </c>
    </row>
    <row r="9" spans="1:17" x14ac:dyDescent="0.3">
      <c r="A9" s="6">
        <v>1</v>
      </c>
      <c r="B9" s="6">
        <v>1</v>
      </c>
      <c r="C9" s="6">
        <v>0</v>
      </c>
      <c r="D9" s="9">
        <f>A9*Pesos!$B$17+B9*Pesos!$B$18+Pesos!$B$19</f>
        <v>-3.3283781247031281</v>
      </c>
      <c r="E9" s="9">
        <f>A9*Pesos!$C$17+B9*Pesos!$C$18+Pesos!$C$19</f>
        <v>-2.4607917363103597</v>
      </c>
      <c r="F9" s="9">
        <f>A9*Pesos!$D$17+B9*Pesos!$D$18+Pesos!$D$19</f>
        <v>1.8719861171724432</v>
      </c>
      <c r="G9" s="9">
        <f>A9*Pesos!$E$17+B9*Pesos!$E$18+Pesos!$E$19</f>
        <v>2.1458328700481157</v>
      </c>
      <c r="H9" s="9">
        <f t="shared" si="0"/>
        <v>3.4610380313171915E-2</v>
      </c>
      <c r="I9" s="9">
        <f t="shared" si="0"/>
        <v>7.8652943542821444E-2</v>
      </c>
      <c r="J9" s="9">
        <f t="shared" si="0"/>
        <v>0.86668792055333066</v>
      </c>
      <c r="K9" s="9">
        <f t="shared" si="0"/>
        <v>0.89527873179975148</v>
      </c>
      <c r="L9" s="9">
        <f>H9*Pesos!$B$23+I9*Pesos!$B$24+J9*Pesos!$B$25+K9*Pesos!$B$26+Pesos!$B$27</f>
        <v>-4.3651969285386052</v>
      </c>
      <c r="M9" s="9">
        <f>1/(1+EXP(-L9))</f>
        <v>1.2552581228477425E-2</v>
      </c>
      <c r="N9" s="5">
        <v>1.2552581228477419E-2</v>
      </c>
      <c r="O9" s="10">
        <f>ABS(M9-N9)</f>
        <v>5.2041704279304213E-18</v>
      </c>
      <c r="P9" s="11">
        <f>IF(M9&gt;=0.5,1,0)</f>
        <v>0</v>
      </c>
      <c r="Q9" s="11" t="str">
        <f>IF(P9=C9,"Sí","No")</f>
        <v>Sí</v>
      </c>
    </row>
    <row r="11" spans="1:17" x14ac:dyDescent="0.3">
      <c r="A11" s="4" t="s">
        <v>53</v>
      </c>
      <c r="F11" s="10">
        <f>SUMXMY2($M$6:$M$9,$C$6:$C$9)/COUNT($C$6:$C$9)</f>
        <v>1.9965943363223362E-4</v>
      </c>
    </row>
    <row r="12" spans="1:17" x14ac:dyDescent="0.3">
      <c r="A12" s="4" t="s">
        <v>54</v>
      </c>
      <c r="F12" s="12">
        <f>Pesos!$B$12</f>
        <v>1.9965943363223519E-4</v>
      </c>
    </row>
    <row r="13" spans="1:17" x14ac:dyDescent="0.3">
      <c r="A13" s="4" t="s">
        <v>55</v>
      </c>
      <c r="F13" s="10">
        <f>MAX($O$6:$O$9)</f>
        <v>2.2204460492503131E-16</v>
      </c>
    </row>
    <row r="14" spans="1:17" x14ac:dyDescent="0.3">
      <c r="A14" s="4" t="s">
        <v>56</v>
      </c>
      <c r="F14" s="13">
        <f>COUNTIF($Q$6:$Q$9,"Sí")/COUNT($C$6:$C$9)</f>
        <v>1</v>
      </c>
    </row>
    <row r="16" spans="1:17" x14ac:dyDescent="0.3">
      <c r="A16" s="6" t="s">
        <v>28</v>
      </c>
    </row>
    <row r="17" spans="1:1" x14ac:dyDescent="0.3">
      <c r="A17" s="7" t="s">
        <v>29</v>
      </c>
    </row>
    <row r="18" spans="1:1" x14ac:dyDescent="0.3">
      <c r="A18" s="8" t="s">
        <v>30</v>
      </c>
    </row>
  </sheetData>
  <mergeCells count="5">
    <mergeCell ref="H4:K4"/>
    <mergeCell ref="L4:M4"/>
    <mergeCell ref="N4:Q4"/>
    <mergeCell ref="A4:C4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0"/>
  <sheetViews>
    <sheetView workbookViewId="0"/>
  </sheetViews>
  <sheetFormatPr defaultRowHeight="14.4" x14ac:dyDescent="0.3"/>
  <cols>
    <col min="1" max="1" width="16" customWidth="1"/>
    <col min="2" max="2" width="10" customWidth="1"/>
    <col min="3" max="5" width="15" customWidth="1"/>
    <col min="6" max="6" width="18" customWidth="1"/>
    <col min="7" max="7" width="15" customWidth="1"/>
    <col min="8" max="19" width="12" customWidth="1"/>
  </cols>
  <sheetData>
    <row r="1" spans="1:19" ht="17.399999999999999" x14ac:dyDescent="0.3">
      <c r="A1" s="1" t="s">
        <v>57</v>
      </c>
    </row>
    <row r="2" spans="1:19" x14ac:dyDescent="0.3">
      <c r="A2" s="2" t="s">
        <v>58</v>
      </c>
    </row>
    <row r="4" spans="1:19" x14ac:dyDescent="0.3">
      <c r="A4" s="4" t="s">
        <v>14</v>
      </c>
      <c r="C4" s="8">
        <f>Pesos!$B$10</f>
        <v>1</v>
      </c>
    </row>
    <row r="5" spans="1:19" x14ac:dyDescent="0.3">
      <c r="A5" s="4" t="s">
        <v>59</v>
      </c>
      <c r="C5" s="7">
        <f>COUNT($C$9:$C$12)</f>
        <v>4</v>
      </c>
    </row>
    <row r="7" spans="1:19" x14ac:dyDescent="0.3">
      <c r="A7" s="19" t="s">
        <v>33</v>
      </c>
      <c r="B7" s="16"/>
      <c r="C7" s="16"/>
      <c r="D7" s="19" t="s">
        <v>34</v>
      </c>
      <c r="E7" s="16"/>
      <c r="F7" s="16"/>
      <c r="G7" s="16"/>
      <c r="H7" s="19" t="s">
        <v>35</v>
      </c>
      <c r="I7" s="16"/>
      <c r="J7" s="16"/>
      <c r="K7" s="16"/>
      <c r="L7" s="19" t="s">
        <v>36</v>
      </c>
      <c r="M7" s="16"/>
      <c r="N7" s="19" t="s">
        <v>60</v>
      </c>
      <c r="O7" s="16"/>
      <c r="P7" s="16"/>
      <c r="Q7" s="16"/>
      <c r="R7" s="16"/>
      <c r="S7" s="16"/>
    </row>
    <row r="8" spans="1:19" x14ac:dyDescent="0.3">
      <c r="A8" s="3" t="s">
        <v>22</v>
      </c>
      <c r="B8" s="3" t="s">
        <v>23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42</v>
      </c>
      <c r="H8" s="3" t="s">
        <v>43</v>
      </c>
      <c r="I8" s="3" t="s">
        <v>44</v>
      </c>
      <c r="J8" s="3" t="s">
        <v>45</v>
      </c>
      <c r="K8" s="3" t="s">
        <v>46</v>
      </c>
      <c r="L8" s="3" t="s">
        <v>47</v>
      </c>
      <c r="M8" s="3" t="s">
        <v>48</v>
      </c>
      <c r="N8" s="3" t="s">
        <v>61</v>
      </c>
      <c r="O8" s="3" t="s">
        <v>62</v>
      </c>
      <c r="P8" s="3" t="s">
        <v>63</v>
      </c>
      <c r="Q8" s="3" t="s">
        <v>64</v>
      </c>
      <c r="R8" s="3" t="s">
        <v>65</v>
      </c>
      <c r="S8" s="3" t="s">
        <v>66</v>
      </c>
    </row>
    <row r="9" spans="1:19" x14ac:dyDescent="0.3">
      <c r="A9" s="6">
        <v>0</v>
      </c>
      <c r="B9" s="6">
        <v>0</v>
      </c>
      <c r="C9" s="6">
        <v>0</v>
      </c>
      <c r="D9" s="9">
        <f>A9*'Pesos iniciales'!$B$6+B9*'Pesos iniciales'!$B$7+'Pesos iniciales'!$B$8</f>
        <v>-0.74377273464890825</v>
      </c>
      <c r="E9" s="9">
        <f>A9*'Pesos iniciales'!$C$6+B9*'Pesos iniciales'!$C$7+'Pesos iniciales'!$C$8</f>
        <v>-9.9228124208865731E-2</v>
      </c>
      <c r="F9" s="9">
        <f>A9*'Pesos iniciales'!$D$6+B9*'Pesos iniciales'!$D$7+'Pesos iniciales'!$D$8</f>
        <v>-0.25840395153483747</v>
      </c>
      <c r="G9" s="9">
        <f>A9*'Pesos iniciales'!$E$6+B9*'Pesos iniciales'!$E$7+'Pesos iniciales'!$E$8</f>
        <v>0.85352997769720362</v>
      </c>
      <c r="H9" s="9">
        <f t="shared" ref="H9:K12" si="0">1/(1+EXP(-D9))</f>
        <v>0.32217970207469154</v>
      </c>
      <c r="I9" s="9">
        <f t="shared" si="0"/>
        <v>0.47521330355120361</v>
      </c>
      <c r="J9" s="9">
        <f t="shared" si="0"/>
        <v>0.43575609265796006</v>
      </c>
      <c r="K9" s="9">
        <f t="shared" si="0"/>
        <v>0.70130711119044209</v>
      </c>
      <c r="L9" s="9">
        <f>H9*'Pesos iniciales'!$B$12+I9*'Pesos iniciales'!$B$13+J9*'Pesos iniciales'!$B$14+K9*'Pesos iniciales'!$B$15+'Pesos iniciales'!$B$16</f>
        <v>7.6737578711314369E-2</v>
      </c>
      <c r="M9" s="9">
        <f>1/(1+EXP(-L9))</f>
        <v>0.51917498602650702</v>
      </c>
      <c r="N9" s="9">
        <f>M9-C9</f>
        <v>0.51917498602650702</v>
      </c>
      <c r="O9" s="9">
        <f>2*N9/$C$5*M9*(1-M9)</f>
        <v>6.4801428100748681E-2</v>
      </c>
      <c r="P9" s="9">
        <f>O9*'Pesos iniciales'!$B$12*H9*(1-H9)</f>
        <v>4.0717661800536578E-3</v>
      </c>
      <c r="Q9" s="9">
        <f>O9*'Pesos iniciales'!$B$13*I9*(1-I9)</f>
        <v>1.0432006701141635E-2</v>
      </c>
      <c r="R9" s="9">
        <f>O9*'Pesos iniciales'!$B$14*J9*(1-J9)</f>
        <v>-1.8031522090312666E-3</v>
      </c>
      <c r="S9" s="9">
        <f>O9*'Pesos iniciales'!$B$15*K9*(1-K9)</f>
        <v>-7.4050912655510082E-3</v>
      </c>
    </row>
    <row r="10" spans="1:19" x14ac:dyDescent="0.3">
      <c r="A10" s="6">
        <v>0</v>
      </c>
      <c r="B10" s="6">
        <v>1</v>
      </c>
      <c r="C10" s="6">
        <v>1</v>
      </c>
      <c r="D10" s="9">
        <f>A10*'Pesos iniciales'!$B$6+B10*'Pesos iniciales'!$B$7+'Pesos iniciales'!$B$8</f>
        <v>-1.5554180388736092</v>
      </c>
      <c r="E10" s="9">
        <f>A10*'Pesos iniciales'!$C$6+B10*'Pesos iniciales'!$C$7+'Pesos iniciales'!$C$8</f>
        <v>0.85201657906464612</v>
      </c>
      <c r="F10" s="9">
        <f>A10*'Pesos iniciales'!$D$6+B10*'Pesos iniciales'!$D$7+'Pesos iniciales'!$D$8</f>
        <v>0.26387545244586846</v>
      </c>
      <c r="G10" s="9">
        <f>A10*'Pesos iniciales'!$E$6+B10*'Pesos iniciales'!$E$7+'Pesos iniciales'!$E$8</f>
        <v>1.4256585882511112</v>
      </c>
      <c r="H10" s="9">
        <f t="shared" si="0"/>
        <v>0.17430511208356075</v>
      </c>
      <c r="I10" s="9">
        <f t="shared" si="0"/>
        <v>0.70098999478392754</v>
      </c>
      <c r="J10" s="9">
        <f t="shared" si="0"/>
        <v>0.56558872408318661</v>
      </c>
      <c r="K10" s="9">
        <f t="shared" si="0"/>
        <v>0.80622397211378771</v>
      </c>
      <c r="L10" s="9">
        <f>H10*'Pesos iniciales'!$B$12+I10*'Pesos iniciales'!$B$13+J10*'Pesos iniciales'!$B$14+K10*'Pesos iniciales'!$B$15+'Pesos iniciales'!$B$16</f>
        <v>0.10800580450319069</v>
      </c>
      <c r="M10" s="9">
        <f>1/(1+EXP(-L10))</f>
        <v>0.52697523347721531</v>
      </c>
      <c r="N10" s="9">
        <f>M10-C10</f>
        <v>-0.47302476652278469</v>
      </c>
      <c r="O10" s="9">
        <f>2*N10/$C$5*M10*(1-M10)</f>
        <v>-5.8955994452702172E-2</v>
      </c>
      <c r="P10" s="9">
        <f>O10*'Pesos iniciales'!$B$12*H10*(1-H10)</f>
        <v>-2.4414239338384652E-3</v>
      </c>
      <c r="Q10" s="9">
        <f>O10*'Pesos iniciales'!$B$13*I10*(1-I10)</f>
        <v>-7.9769594142737373E-3</v>
      </c>
      <c r="R10" s="9">
        <f>O10*'Pesos iniciales'!$B$14*J10*(1-J10)</f>
        <v>1.6393333207893491E-3</v>
      </c>
      <c r="S10" s="9">
        <f>O10*'Pesos iniciales'!$B$15*K10*(1-K10)</f>
        <v>5.0245415100018658E-3</v>
      </c>
    </row>
    <row r="11" spans="1:19" x14ac:dyDescent="0.3">
      <c r="A11" s="6">
        <v>1</v>
      </c>
      <c r="B11" s="6">
        <v>0</v>
      </c>
      <c r="C11" s="6">
        <v>1</v>
      </c>
      <c r="D11" s="9">
        <f>A11*'Pesos iniciales'!$B$6+B11*'Pesos iniciales'!$B$7+'Pesos iniciales'!$B$8</f>
        <v>-0.19586063753698157</v>
      </c>
      <c r="E11" s="9">
        <f>A11*'Pesos iniciales'!$C$6+B11*'Pesos iniciales'!$C$7+'Pesos iniciales'!$C$8</f>
        <v>-0.22147124470476115</v>
      </c>
      <c r="F11" s="9">
        <f>A11*'Pesos iniciales'!$D$6+B11*'Pesos iniciales'!$D$7+'Pesos iniciales'!$D$8</f>
        <v>0.45879188828792744</v>
      </c>
      <c r="G11" s="9">
        <f>A11*'Pesos iniciales'!$E$6+B11*'Pesos iniciales'!$E$7+'Pesos iniciales'!$E$8</f>
        <v>1.2482660358159314</v>
      </c>
      <c r="H11" s="9">
        <f t="shared" si="0"/>
        <v>0.45119077342506148</v>
      </c>
      <c r="I11" s="9">
        <f t="shared" si="0"/>
        <v>0.44485739792623907</v>
      </c>
      <c r="J11" s="9">
        <f t="shared" si="0"/>
        <v>0.61272753935983759</v>
      </c>
      <c r="K11" s="9">
        <f t="shared" si="0"/>
        <v>0.77699955935566545</v>
      </c>
      <c r="L11" s="9">
        <f>H11*'Pesos iniciales'!$B$12+I11*'Pesos iniciales'!$B$13+J11*'Pesos iniciales'!$B$14+K11*'Pesos iniciales'!$B$15+'Pesos iniciales'!$B$16</f>
        <v>3.2942443092609686E-2</v>
      </c>
      <c r="M11" s="9">
        <f>1/(1+EXP(-L11))</f>
        <v>0.50823486607710544</v>
      </c>
      <c r="N11" s="9">
        <f>M11-C11</f>
        <v>-0.49176513392289456</v>
      </c>
      <c r="O11" s="9">
        <f>2*N11/$C$5*M11*(1-M11)</f>
        <v>-6.1453967701100995E-2</v>
      </c>
      <c r="P11" s="9">
        <f>O11*'Pesos iniciales'!$B$12*H11*(1-H11)</f>
        <v>-4.3784162820939025E-3</v>
      </c>
      <c r="Q11" s="9">
        <f>O11*'Pesos iniciales'!$B$13*I11*(1-I11)</f>
        <v>-9.796866160120361E-3</v>
      </c>
      <c r="R11" s="9">
        <f>O11*'Pesos iniciales'!$B$14*J11*(1-J11)</f>
        <v>1.6503323317385956E-3</v>
      </c>
      <c r="S11" s="9">
        <f>O11*'Pesos iniciales'!$B$15*K11*(1-K11)</f>
        <v>5.808836252742474E-3</v>
      </c>
    </row>
    <row r="12" spans="1:19" x14ac:dyDescent="0.3">
      <c r="A12" s="6">
        <v>1</v>
      </c>
      <c r="B12" s="6">
        <v>1</v>
      </c>
      <c r="C12" s="6">
        <v>0</v>
      </c>
      <c r="D12" s="9">
        <f>A12*'Pesos iniciales'!$B$6+B12*'Pesos iniciales'!$B$7+'Pesos iniciales'!$B$8</f>
        <v>-1.0075059417616825</v>
      </c>
      <c r="E12" s="9">
        <f>A12*'Pesos iniciales'!$C$6+B12*'Pesos iniciales'!$C$7+'Pesos iniciales'!$C$8</f>
        <v>0.72977345856875075</v>
      </c>
      <c r="F12" s="9">
        <f>A12*'Pesos iniciales'!$D$6+B12*'Pesos iniciales'!$D$7+'Pesos iniciales'!$D$8</f>
        <v>0.98107129226863332</v>
      </c>
      <c r="G12" s="9">
        <f>A12*'Pesos iniciales'!$E$6+B12*'Pesos iniciales'!$E$7+'Pesos iniciales'!$E$8</f>
        <v>1.8203946463698391</v>
      </c>
      <c r="H12" s="9">
        <f t="shared" si="0"/>
        <v>0.26746822554751681</v>
      </c>
      <c r="I12" s="9">
        <f t="shared" si="0"/>
        <v>0.67475555765605355</v>
      </c>
      <c r="J12" s="9">
        <f t="shared" si="0"/>
        <v>0.72732073241827566</v>
      </c>
      <c r="K12" s="9">
        <f t="shared" si="0"/>
        <v>0.86061347473440086</v>
      </c>
      <c r="L12" s="9">
        <f>H12*'Pesos iniciales'!$B$12+I12*'Pesos iniciales'!$B$13+J12*'Pesos iniciales'!$B$14+K12*'Pesos iniciales'!$B$15+'Pesos iniciales'!$B$16</f>
        <v>6.9902539966673449E-2</v>
      </c>
      <c r="M12" s="9">
        <f>1/(1+EXP(-L12))</f>
        <v>0.51746852243936625</v>
      </c>
      <c r="N12" s="9">
        <f>M12-C12</f>
        <v>0.51746852243936625</v>
      </c>
      <c r="O12" s="9">
        <f>2*N12/$C$5*M12*(1-M12)</f>
        <v>6.4604612732377664E-2</v>
      </c>
      <c r="P12" s="9">
        <f>O12*'Pesos iniciales'!$B$12*H12*(1-H12)</f>
        <v>3.6420650609798105E-3</v>
      </c>
      <c r="Q12" s="9">
        <f>O12*'Pesos iniciales'!$B$13*I12*(1-I12)</f>
        <v>9.1523317793720995E-3</v>
      </c>
      <c r="R12" s="9">
        <f>O12*'Pesos iniciales'!$B$14*J12*(1-J12)</f>
        <v>-1.4500369816523927E-3</v>
      </c>
      <c r="S12" s="9">
        <f>O12*'Pesos iniciales'!$B$15*K12*(1-K12)</f>
        <v>-4.2277098472941815E-3</v>
      </c>
    </row>
    <row r="14" spans="1:19" x14ac:dyDescent="0.3">
      <c r="A14" s="4" t="s">
        <v>67</v>
      </c>
      <c r="C14" s="10">
        <f>SUMXMY2($M$9:$M$12,$C$9:$C$12)/$C$5</f>
        <v>0.25072542862933556</v>
      </c>
    </row>
    <row r="16" spans="1:19" x14ac:dyDescent="0.3">
      <c r="A16" s="4" t="s">
        <v>68</v>
      </c>
    </row>
    <row r="17" spans="1:7" x14ac:dyDescent="0.3">
      <c r="A17" s="18" t="s">
        <v>2</v>
      </c>
      <c r="B17" s="16"/>
      <c r="C17" s="3" t="s">
        <v>69</v>
      </c>
      <c r="D17" s="3" t="s">
        <v>70</v>
      </c>
      <c r="E17" s="3" t="s">
        <v>71</v>
      </c>
      <c r="F17" s="3" t="s">
        <v>72</v>
      </c>
      <c r="G17" s="3" t="s">
        <v>50</v>
      </c>
    </row>
    <row r="18" spans="1:7" x14ac:dyDescent="0.3">
      <c r="A18" s="4" t="s">
        <v>73</v>
      </c>
      <c r="C18" s="14">
        <f>'Pesos iniciales'!$B$6</f>
        <v>0.54791209711192668</v>
      </c>
      <c r="D18" s="9">
        <f>SUMPRODUCT($A$9:$A$12,$P$9:$P$12)</f>
        <v>-7.3635122111409199E-4</v>
      </c>
      <c r="E18" s="9">
        <f t="shared" ref="E18:E34" si="1">C18-$C$4*D18</f>
        <v>0.54864844833304072</v>
      </c>
      <c r="F18" s="5">
        <v>0.54864844833304072</v>
      </c>
      <c r="G18" s="10">
        <f t="shared" ref="G18:G34" si="2">ABS(E18-F18)</f>
        <v>0</v>
      </c>
    </row>
    <row r="19" spans="1:7" x14ac:dyDescent="0.3">
      <c r="A19" s="4" t="s">
        <v>74</v>
      </c>
      <c r="C19" s="14">
        <f>'Pesos iniciales'!$C$6</f>
        <v>-0.1222431204958954</v>
      </c>
      <c r="D19" s="9">
        <f>SUMPRODUCT($A$9:$A$12,$Q$9:$Q$12)</f>
        <v>-6.4453438074826147E-4</v>
      </c>
      <c r="E19" s="9">
        <f t="shared" si="1"/>
        <v>-0.12159858611514715</v>
      </c>
      <c r="F19" s="5">
        <v>-0.12159858611514709</v>
      </c>
      <c r="G19" s="10">
        <f t="shared" si="2"/>
        <v>5.5511151231257827E-17</v>
      </c>
    </row>
    <row r="20" spans="1:7" x14ac:dyDescent="0.3">
      <c r="A20" s="4" t="s">
        <v>75</v>
      </c>
      <c r="C20" s="14">
        <f>'Pesos iniciales'!$D$6</f>
        <v>0.71719583982276491</v>
      </c>
      <c r="D20" s="9">
        <f>SUMPRODUCT($A$9:$A$12,$R$9:$R$12)</f>
        <v>2.0029535008620294E-4</v>
      </c>
      <c r="E20" s="9">
        <f t="shared" si="1"/>
        <v>0.71699554447267866</v>
      </c>
      <c r="F20" s="5">
        <v>0.71699554447267866</v>
      </c>
      <c r="G20" s="10">
        <f t="shared" si="2"/>
        <v>0</v>
      </c>
    </row>
    <row r="21" spans="1:7" x14ac:dyDescent="0.3">
      <c r="A21" s="4" t="s">
        <v>76</v>
      </c>
      <c r="C21" s="14">
        <f>'Pesos iniciales'!$E$6</f>
        <v>0.39473605811872781</v>
      </c>
      <c r="D21" s="9">
        <f>SUMPRODUCT($A$9:$A$12,$S$9:$S$12)</f>
        <v>1.5811264054482925E-3</v>
      </c>
      <c r="E21" s="9">
        <f t="shared" si="1"/>
        <v>0.39315493171327953</v>
      </c>
      <c r="F21" s="5">
        <v>0.39315493171327948</v>
      </c>
      <c r="G21" s="10">
        <f t="shared" si="2"/>
        <v>5.5511151231257827E-17</v>
      </c>
    </row>
    <row r="22" spans="1:7" x14ac:dyDescent="0.3">
      <c r="A22" s="4" t="s">
        <v>77</v>
      </c>
      <c r="C22" s="14">
        <f>'Pesos iniciales'!$B$7</f>
        <v>-0.81164530422470094</v>
      </c>
      <c r="D22" s="9">
        <f>SUMPRODUCT($B$9:$B$12,$P$9:$P$12)</f>
        <v>1.2006411271413453E-3</v>
      </c>
      <c r="E22" s="9">
        <f t="shared" si="1"/>
        <v>-0.81284594535184229</v>
      </c>
      <c r="F22" s="5">
        <v>-0.81284594535184229</v>
      </c>
      <c r="G22" s="10">
        <f t="shared" si="2"/>
        <v>0</v>
      </c>
    </row>
    <row r="23" spans="1:7" x14ac:dyDescent="0.3">
      <c r="A23" s="4" t="s">
        <v>78</v>
      </c>
      <c r="C23" s="14">
        <f>'Pesos iniciales'!$C$7</f>
        <v>0.95124470327351185</v>
      </c>
      <c r="D23" s="9">
        <f>SUMPRODUCT($B$9:$B$12,$Q$9:$Q$12)</f>
        <v>1.1753723650983622E-3</v>
      </c>
      <c r="E23" s="9">
        <f t="shared" si="1"/>
        <v>0.9500693309084135</v>
      </c>
      <c r="F23" s="5">
        <v>0.9500693309084135</v>
      </c>
      <c r="G23" s="10">
        <f t="shared" si="2"/>
        <v>0</v>
      </c>
    </row>
    <row r="24" spans="1:7" x14ac:dyDescent="0.3">
      <c r="A24" s="4" t="s">
        <v>79</v>
      </c>
      <c r="C24" s="14">
        <f>'Pesos iniciales'!$D$7</f>
        <v>0.52227940398070594</v>
      </c>
      <c r="D24" s="9">
        <f>SUMPRODUCT($B$9:$B$12,$R$9:$R$12)</f>
        <v>1.892963391369564E-4</v>
      </c>
      <c r="E24" s="9">
        <f t="shared" si="1"/>
        <v>0.52209010764156893</v>
      </c>
      <c r="F24" s="5">
        <v>0.52209010764156893</v>
      </c>
      <c r="G24" s="10">
        <f t="shared" si="2"/>
        <v>0</v>
      </c>
    </row>
    <row r="25" spans="1:7" x14ac:dyDescent="0.3">
      <c r="A25" s="4" t="s">
        <v>80</v>
      </c>
      <c r="C25" s="14">
        <f>'Pesos iniciales'!$E$7</f>
        <v>0.57212861055390762</v>
      </c>
      <c r="D25" s="9">
        <f>SUMPRODUCT($B$9:$B$12,$S$9:$S$12)</f>
        <v>7.9683166270768432E-4</v>
      </c>
      <c r="E25" s="9">
        <f t="shared" si="1"/>
        <v>0.5713317788911999</v>
      </c>
      <c r="F25" s="5">
        <v>0.5713317788911999</v>
      </c>
      <c r="G25" s="10">
        <f t="shared" si="2"/>
        <v>0</v>
      </c>
    </row>
    <row r="26" spans="1:7" x14ac:dyDescent="0.3">
      <c r="A26" s="4" t="s">
        <v>81</v>
      </c>
      <c r="C26" s="14">
        <f>'Pesos iniciales'!$B$8</f>
        <v>-0.74377273464890825</v>
      </c>
      <c r="D26" s="9">
        <f>SUM($P$9:$P$12)</f>
        <v>8.9399102510110068E-4</v>
      </c>
      <c r="E26" s="9">
        <f t="shared" si="1"/>
        <v>-0.74466672567400938</v>
      </c>
      <c r="F26" s="5">
        <v>-0.74466672567400938</v>
      </c>
      <c r="G26" s="10">
        <f t="shared" si="2"/>
        <v>0</v>
      </c>
    </row>
    <row r="27" spans="1:7" x14ac:dyDescent="0.3">
      <c r="A27" s="4" t="s">
        <v>82</v>
      </c>
      <c r="C27" s="14">
        <f>'Pesos iniciales'!$C$8</f>
        <v>-9.9228124208865731E-2</v>
      </c>
      <c r="D27" s="9">
        <f>SUM($Q$9:$Q$12)</f>
        <v>1.8105129061196362E-3</v>
      </c>
      <c r="E27" s="9">
        <f t="shared" si="1"/>
        <v>-0.10103863711498537</v>
      </c>
      <c r="F27" s="5">
        <v>-0.1010386371149854</v>
      </c>
      <c r="G27" s="10">
        <f t="shared" si="2"/>
        <v>2.7755575615628914E-17</v>
      </c>
    </row>
    <row r="28" spans="1:7" x14ac:dyDescent="0.3">
      <c r="A28" s="4" t="s">
        <v>83</v>
      </c>
      <c r="C28" s="14">
        <f>'Pesos iniciales'!$D$8</f>
        <v>-0.25840395153483747</v>
      </c>
      <c r="D28" s="9">
        <f>SUM($R$9:$R$12)</f>
        <v>3.6476461844285385E-5</v>
      </c>
      <c r="E28" s="9">
        <f t="shared" si="1"/>
        <v>-0.25844042799668177</v>
      </c>
      <c r="F28" s="5">
        <v>-0.25844042799668182</v>
      </c>
      <c r="G28" s="10">
        <f t="shared" si="2"/>
        <v>5.5511151231257827E-17</v>
      </c>
    </row>
    <row r="29" spans="1:7" x14ac:dyDescent="0.3">
      <c r="A29" s="4" t="s">
        <v>84</v>
      </c>
      <c r="C29" s="14">
        <f>'Pesos iniciales'!$E$8</f>
        <v>0.85352997769720362</v>
      </c>
      <c r="D29" s="9">
        <f>SUM($S$9:$S$12)</f>
        <v>-7.9942335010084985E-4</v>
      </c>
      <c r="E29" s="9">
        <f t="shared" si="1"/>
        <v>0.85432940104730448</v>
      </c>
      <c r="F29" s="5">
        <v>0.85432940104730448</v>
      </c>
      <c r="G29" s="10">
        <f t="shared" si="2"/>
        <v>0</v>
      </c>
    </row>
    <row r="30" spans="1:7" x14ac:dyDescent="0.3">
      <c r="A30" s="4" t="s">
        <v>85</v>
      </c>
      <c r="C30" s="14">
        <f>'Pesos iniciales'!$B$12</f>
        <v>0.28773024016132909</v>
      </c>
      <c r="D30" s="9">
        <f>SUMPRODUCT($H$9:$H$12,$O$9:$O$12)</f>
        <v>1.5359149105277636E-4</v>
      </c>
      <c r="E30" s="9">
        <f t="shared" si="1"/>
        <v>0.28757664867027632</v>
      </c>
      <c r="F30" s="5">
        <v>0.28757664867027632</v>
      </c>
      <c r="G30" s="10">
        <f t="shared" si="2"/>
        <v>0</v>
      </c>
    </row>
    <row r="31" spans="1:7" x14ac:dyDescent="0.3">
      <c r="A31" s="4" t="s">
        <v>86</v>
      </c>
      <c r="C31" s="14">
        <f>'Pesos iniciales'!$B$13</f>
        <v>0.64552322654165994</v>
      </c>
      <c r="D31" s="9">
        <f>SUMPRODUCT($I$9:$I$12,$O$9:$O$12)</f>
        <v>5.7210078063455669E-3</v>
      </c>
      <c r="E31" s="9">
        <f t="shared" si="1"/>
        <v>0.6398022187353144</v>
      </c>
      <c r="F31" s="5">
        <v>0.6398022187353144</v>
      </c>
      <c r="G31" s="10">
        <f t="shared" si="2"/>
        <v>0</v>
      </c>
    </row>
    <row r="32" spans="1:7" x14ac:dyDescent="0.3">
      <c r="A32" s="4" t="s">
        <v>87</v>
      </c>
      <c r="C32" s="14">
        <f>'Pesos iniciales'!$B$14</f>
        <v>-0.1131716023453377</v>
      </c>
      <c r="D32" s="9">
        <f>SUMPRODUCT($J$9:$J$12,$O$9:$O$12)</f>
        <v>4.2265072649961682E-3</v>
      </c>
      <c r="E32" s="9">
        <f t="shared" si="1"/>
        <v>-0.11739810961033387</v>
      </c>
      <c r="F32" s="5">
        <v>-0.1173981096103339</v>
      </c>
      <c r="G32" s="10">
        <f t="shared" si="2"/>
        <v>2.7755575615628914E-17</v>
      </c>
    </row>
    <row r="33" spans="1:7" x14ac:dyDescent="0.3">
      <c r="A33" s="4" t="s">
        <v>88</v>
      </c>
      <c r="C33" s="14">
        <f>'Pesos iniciales'!$B$15</f>
        <v>-0.54552255643044623</v>
      </c>
      <c r="D33" s="9">
        <f>SUMPRODUCT($K$9:$K$12,$O$9:$O$12)</f>
        <v>5.7638607378443021E-3</v>
      </c>
      <c r="E33" s="9">
        <f t="shared" si="1"/>
        <v>-0.55128641716829052</v>
      </c>
      <c r="F33" s="5">
        <v>-0.55128641716829052</v>
      </c>
      <c r="G33" s="10">
        <f t="shared" si="2"/>
        <v>0</v>
      </c>
    </row>
    <row r="34" spans="1:7" x14ac:dyDescent="0.3">
      <c r="A34" s="4" t="s">
        <v>89</v>
      </c>
      <c r="C34" s="14">
        <f>'Pesos iniciales'!$B$16</f>
        <v>0.1091695740316696</v>
      </c>
      <c r="D34" s="9">
        <f>SUM($O$9:$O$12)</f>
        <v>8.9960786793231787E-3</v>
      </c>
      <c r="E34" s="9">
        <f t="shared" si="1"/>
        <v>0.10017349535234643</v>
      </c>
      <c r="F34" s="5">
        <v>0.1001734953523465</v>
      </c>
      <c r="G34" s="10">
        <f t="shared" si="2"/>
        <v>6.9388939039072284E-17</v>
      </c>
    </row>
    <row r="36" spans="1:7" x14ac:dyDescent="0.3">
      <c r="A36" s="4" t="s">
        <v>55</v>
      </c>
      <c r="G36" s="10">
        <f>MAX(G18:G34)</f>
        <v>6.9388939039072284E-17</v>
      </c>
    </row>
    <row r="38" spans="1:7" x14ac:dyDescent="0.3">
      <c r="A38" s="6" t="s">
        <v>28</v>
      </c>
    </row>
    <row r="39" spans="1:7" x14ac:dyDescent="0.3">
      <c r="A39" s="7" t="s">
        <v>29</v>
      </c>
    </row>
    <row r="40" spans="1:7" x14ac:dyDescent="0.3">
      <c r="A40" s="8" t="s">
        <v>30</v>
      </c>
    </row>
  </sheetData>
  <mergeCells count="6">
    <mergeCell ref="N7:S7"/>
    <mergeCell ref="L7:M7"/>
    <mergeCell ref="D7:G7"/>
    <mergeCell ref="H7:K7"/>
    <mergeCell ref="A17:B17"/>
    <mergeCell ref="A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4.4" x14ac:dyDescent="0.3"/>
  <cols>
    <col min="1" max="1" width="26" customWidth="1"/>
    <col min="2" max="5" width="12" customWidth="1"/>
  </cols>
  <sheetData>
    <row r="1" spans="1:5" ht="17.399999999999999" x14ac:dyDescent="0.3">
      <c r="A1" s="1" t="s">
        <v>90</v>
      </c>
    </row>
    <row r="2" spans="1:5" x14ac:dyDescent="0.3">
      <c r="A2" s="2" t="s">
        <v>91</v>
      </c>
    </row>
    <row r="4" spans="1:5" x14ac:dyDescent="0.3">
      <c r="A4" s="4" t="s">
        <v>17</v>
      </c>
    </row>
    <row r="5" spans="1:5" x14ac:dyDescent="0.3">
      <c r="A5" s="3"/>
      <c r="B5" s="3" t="s">
        <v>18</v>
      </c>
      <c r="C5" s="3" t="s">
        <v>19</v>
      </c>
      <c r="D5" s="3" t="s">
        <v>20</v>
      </c>
      <c r="E5" s="3" t="s">
        <v>21</v>
      </c>
    </row>
    <row r="6" spans="1:5" x14ac:dyDescent="0.3">
      <c r="A6" s="4" t="s">
        <v>22</v>
      </c>
      <c r="B6" s="5">
        <v>0.54791209711192668</v>
      </c>
      <c r="C6" s="5">
        <v>-0.1222431204958954</v>
      </c>
      <c r="D6" s="5">
        <v>0.71719583982276491</v>
      </c>
      <c r="E6" s="5">
        <v>0.39473605811872781</v>
      </c>
    </row>
    <row r="7" spans="1:5" x14ac:dyDescent="0.3">
      <c r="A7" s="4" t="s">
        <v>23</v>
      </c>
      <c r="B7" s="5">
        <v>-0.81164530422470094</v>
      </c>
      <c r="C7" s="5">
        <v>0.95124470327351185</v>
      </c>
      <c r="D7" s="5">
        <v>0.52227940398070594</v>
      </c>
      <c r="E7" s="5">
        <v>0.57212861055390762</v>
      </c>
    </row>
    <row r="8" spans="1:5" x14ac:dyDescent="0.3">
      <c r="A8" s="4" t="s">
        <v>24</v>
      </c>
      <c r="B8" s="5">
        <v>-0.74377273464890825</v>
      </c>
      <c r="C8" s="5">
        <v>-9.9228124208865731E-2</v>
      </c>
      <c r="D8" s="5">
        <v>-0.25840395153483747</v>
      </c>
      <c r="E8" s="5">
        <v>0.85352997769720362</v>
      </c>
    </row>
    <row r="10" spans="1:5" x14ac:dyDescent="0.3">
      <c r="A10" s="4" t="s">
        <v>25</v>
      </c>
    </row>
    <row r="11" spans="1:5" x14ac:dyDescent="0.3">
      <c r="A11" s="3"/>
      <c r="B11" s="3" t="s">
        <v>26</v>
      </c>
    </row>
    <row r="12" spans="1:5" x14ac:dyDescent="0.3">
      <c r="A12" s="4" t="s">
        <v>18</v>
      </c>
      <c r="B12" s="5">
        <v>0.28773024016132909</v>
      </c>
    </row>
    <row r="13" spans="1:5" x14ac:dyDescent="0.3">
      <c r="A13" s="4" t="s">
        <v>19</v>
      </c>
      <c r="B13" s="5">
        <v>0.64552322654165994</v>
      </c>
    </row>
    <row r="14" spans="1:5" x14ac:dyDescent="0.3">
      <c r="A14" s="4" t="s">
        <v>20</v>
      </c>
      <c r="B14" s="5">
        <v>-0.1131716023453377</v>
      </c>
    </row>
    <row r="15" spans="1:5" x14ac:dyDescent="0.3">
      <c r="A15" s="4" t="s">
        <v>21</v>
      </c>
      <c r="B15" s="5">
        <v>-0.54552255643044623</v>
      </c>
    </row>
    <row r="16" spans="1:5" x14ac:dyDescent="0.3">
      <c r="A16" s="4" t="s">
        <v>27</v>
      </c>
      <c r="B16" s="5">
        <v>0.1091695740316696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</cols>
  <sheetData>
    <row r="1" spans="1:2" ht="17.399999999999999" x14ac:dyDescent="0.3">
      <c r="A1" s="1" t="s">
        <v>92</v>
      </c>
    </row>
    <row r="2" spans="1:2" x14ac:dyDescent="0.3">
      <c r="A2" s="2" t="s">
        <v>93</v>
      </c>
    </row>
    <row r="4" spans="1:2" x14ac:dyDescent="0.3">
      <c r="A4" s="3" t="s">
        <v>94</v>
      </c>
      <c r="B4" s="3" t="s">
        <v>95</v>
      </c>
    </row>
    <row r="5" spans="1:2" x14ac:dyDescent="0.3">
      <c r="A5" s="6">
        <v>0</v>
      </c>
      <c r="B5" s="5">
        <v>0.25072542862933561</v>
      </c>
    </row>
    <row r="6" spans="1:2" x14ac:dyDescent="0.3">
      <c r="A6" s="6">
        <v>100</v>
      </c>
      <c r="B6" s="5">
        <v>0.24870000484945309</v>
      </c>
    </row>
    <row r="7" spans="1:2" x14ac:dyDescent="0.3">
      <c r="A7" s="6">
        <v>200</v>
      </c>
      <c r="B7" s="5">
        <v>0.24528970845577661</v>
      </c>
    </row>
    <row r="8" spans="1:2" x14ac:dyDescent="0.3">
      <c r="A8" s="6">
        <v>300</v>
      </c>
      <c r="B8" s="5">
        <v>0.23477952335543059</v>
      </c>
    </row>
    <row r="9" spans="1:2" x14ac:dyDescent="0.3">
      <c r="A9" s="6">
        <v>400</v>
      </c>
      <c r="B9" s="5">
        <v>0.20962000444903539</v>
      </c>
    </row>
    <row r="10" spans="1:2" x14ac:dyDescent="0.3">
      <c r="A10" s="6">
        <v>500</v>
      </c>
      <c r="B10" s="5">
        <v>0.1720528005846228</v>
      </c>
    </row>
    <row r="11" spans="1:2" x14ac:dyDescent="0.3">
      <c r="A11" s="6">
        <v>600</v>
      </c>
      <c r="B11" s="5">
        <v>0.1075970697574674</v>
      </c>
    </row>
    <row r="12" spans="1:2" x14ac:dyDescent="0.3">
      <c r="A12" s="6">
        <v>700</v>
      </c>
      <c r="B12" s="5">
        <v>4.4194837970282071E-2</v>
      </c>
    </row>
    <row r="13" spans="1:2" x14ac:dyDescent="0.3">
      <c r="A13" s="6">
        <v>800</v>
      </c>
      <c r="B13" s="5">
        <v>2.119666868813572E-2</v>
      </c>
    </row>
    <row r="14" spans="1:2" x14ac:dyDescent="0.3">
      <c r="A14" s="6">
        <v>900</v>
      </c>
      <c r="B14" s="5">
        <v>1.26459405296104E-2</v>
      </c>
    </row>
    <row r="15" spans="1:2" x14ac:dyDescent="0.3">
      <c r="A15" s="6">
        <v>1000</v>
      </c>
      <c r="B15" s="5">
        <v>8.6560582487398459E-3</v>
      </c>
    </row>
    <row r="16" spans="1:2" x14ac:dyDescent="0.3">
      <c r="A16" s="6">
        <v>1100</v>
      </c>
      <c r="B16" s="5">
        <v>6.4509168507954576E-3</v>
      </c>
    </row>
    <row r="17" spans="1:2" x14ac:dyDescent="0.3">
      <c r="A17" s="6">
        <v>1200</v>
      </c>
      <c r="B17" s="5">
        <v>5.0839787572287418E-3</v>
      </c>
    </row>
    <row r="18" spans="1:2" x14ac:dyDescent="0.3">
      <c r="A18" s="6">
        <v>1300</v>
      </c>
      <c r="B18" s="5">
        <v>4.1659568693326937E-3</v>
      </c>
    </row>
    <row r="19" spans="1:2" x14ac:dyDescent="0.3">
      <c r="A19" s="6">
        <v>1400</v>
      </c>
      <c r="B19" s="5">
        <v>3.5124095510361609E-3</v>
      </c>
    </row>
    <row r="20" spans="1:2" x14ac:dyDescent="0.3">
      <c r="A20" s="6">
        <v>1500</v>
      </c>
      <c r="B20" s="5">
        <v>3.0262006782997902E-3</v>
      </c>
    </row>
    <row r="21" spans="1:2" x14ac:dyDescent="0.3">
      <c r="A21" s="6">
        <v>1600</v>
      </c>
      <c r="B21" s="5">
        <v>2.651864883889893E-3</v>
      </c>
    </row>
    <row r="22" spans="1:2" x14ac:dyDescent="0.3">
      <c r="A22" s="6">
        <v>1700</v>
      </c>
      <c r="B22" s="5">
        <v>2.3556569727484558E-3</v>
      </c>
    </row>
    <row r="23" spans="1:2" x14ac:dyDescent="0.3">
      <c r="A23" s="6">
        <v>1800</v>
      </c>
      <c r="B23" s="5">
        <v>2.1159737566108852E-3</v>
      </c>
    </row>
    <row r="24" spans="1:2" x14ac:dyDescent="0.3">
      <c r="A24" s="6">
        <v>1900</v>
      </c>
      <c r="B24" s="5">
        <v>1.9183962569843721E-3</v>
      </c>
    </row>
    <row r="25" spans="1:2" x14ac:dyDescent="0.3">
      <c r="A25" s="6">
        <v>2000</v>
      </c>
      <c r="B25" s="5">
        <v>1.7529604330257099E-3</v>
      </c>
    </row>
    <row r="26" spans="1:2" x14ac:dyDescent="0.3">
      <c r="A26" s="6">
        <v>2100</v>
      </c>
      <c r="B26" s="5">
        <v>1.6125756761472411E-3</v>
      </c>
    </row>
    <row r="27" spans="1:2" x14ac:dyDescent="0.3">
      <c r="A27" s="6">
        <v>2200</v>
      </c>
      <c r="B27" s="5">
        <v>1.4920678426922299E-3</v>
      </c>
    </row>
    <row r="28" spans="1:2" x14ac:dyDescent="0.3">
      <c r="A28" s="6">
        <v>2300</v>
      </c>
      <c r="B28" s="5">
        <v>1.3875783533201071E-3</v>
      </c>
    </row>
    <row r="29" spans="1:2" x14ac:dyDescent="0.3">
      <c r="A29" s="6">
        <v>2400</v>
      </c>
      <c r="B29" s="5">
        <v>1.2961746013536351E-3</v>
      </c>
    </row>
    <row r="30" spans="1:2" x14ac:dyDescent="0.3">
      <c r="A30" s="6">
        <v>2500</v>
      </c>
      <c r="B30" s="5">
        <v>1.2155902054916739E-3</v>
      </c>
    </row>
    <row r="31" spans="1:2" x14ac:dyDescent="0.3">
      <c r="A31" s="6">
        <v>2600</v>
      </c>
      <c r="B31" s="5">
        <v>1.144047519765003E-3</v>
      </c>
    </row>
    <row r="32" spans="1:2" x14ac:dyDescent="0.3">
      <c r="A32" s="6">
        <v>2700</v>
      </c>
      <c r="B32" s="5">
        <v>1.080133676778144E-3</v>
      </c>
    </row>
    <row r="33" spans="1:2" x14ac:dyDescent="0.3">
      <c r="A33" s="6">
        <v>2800</v>
      </c>
      <c r="B33" s="5">
        <v>1.022712315478042E-3</v>
      </c>
    </row>
    <row r="34" spans="1:2" x14ac:dyDescent="0.3">
      <c r="A34" s="6">
        <v>2900</v>
      </c>
      <c r="B34" s="5">
        <v>9.7085961147234208E-4</v>
      </c>
    </row>
    <row r="35" spans="1:2" x14ac:dyDescent="0.3">
      <c r="A35" s="6">
        <v>3000</v>
      </c>
      <c r="B35" s="5">
        <v>9.238171810851876E-4</v>
      </c>
    </row>
    <row r="36" spans="1:2" x14ac:dyDescent="0.3">
      <c r="A36" s="6">
        <v>3100</v>
      </c>
      <c r="B36" s="5">
        <v>8.8095690775564692E-4</v>
      </c>
    </row>
    <row r="37" spans="1:2" x14ac:dyDescent="0.3">
      <c r="A37" s="6">
        <v>3200</v>
      </c>
      <c r="B37" s="5">
        <v>8.4175432725918254E-4</v>
      </c>
    </row>
    <row r="38" spans="1:2" x14ac:dyDescent="0.3">
      <c r="A38" s="6">
        <v>3300</v>
      </c>
      <c r="B38" s="5">
        <v>8.0576824696351962E-4</v>
      </c>
    </row>
    <row r="39" spans="1:2" x14ac:dyDescent="0.3">
      <c r="A39" s="6">
        <v>3400</v>
      </c>
      <c r="B39" s="5">
        <v>7.726249666137764E-4</v>
      </c>
    </row>
    <row r="40" spans="1:2" x14ac:dyDescent="0.3">
      <c r="A40" s="6">
        <v>3500</v>
      </c>
      <c r="B40" s="5">
        <v>7.4200593747427985E-4</v>
      </c>
    </row>
    <row r="41" spans="1:2" x14ac:dyDescent="0.3">
      <c r="A41" s="6">
        <v>3600</v>
      </c>
      <c r="B41" s="5">
        <v>7.1363801987225114E-4</v>
      </c>
    </row>
    <row r="42" spans="1:2" x14ac:dyDescent="0.3">
      <c r="A42" s="6">
        <v>3700</v>
      </c>
      <c r="B42" s="5">
        <v>6.8728572502987874E-4</v>
      </c>
    </row>
    <row r="43" spans="1:2" x14ac:dyDescent="0.3">
      <c r="A43" s="6">
        <v>3800</v>
      </c>
      <c r="B43" s="5">
        <v>6.6274498700167228E-4</v>
      </c>
    </row>
    <row r="44" spans="1:2" x14ac:dyDescent="0.3">
      <c r="A44" s="6">
        <v>3900</v>
      </c>
      <c r="B44" s="5">
        <v>6.3983812520879678E-4</v>
      </c>
    </row>
    <row r="45" spans="1:2" x14ac:dyDescent="0.3">
      <c r="A45" s="6">
        <v>4000</v>
      </c>
      <c r="B45" s="5">
        <v>6.1840974124421954E-4</v>
      </c>
    </row>
    <row r="46" spans="1:2" x14ac:dyDescent="0.3">
      <c r="A46" s="6">
        <v>4100</v>
      </c>
      <c r="B46" s="5">
        <v>5.9832335461665223E-4</v>
      </c>
    </row>
    <row r="47" spans="1:2" x14ac:dyDescent="0.3">
      <c r="A47" s="6">
        <v>4200</v>
      </c>
      <c r="B47" s="5">
        <v>5.794586272801699E-4</v>
      </c>
    </row>
    <row r="48" spans="1:2" x14ac:dyDescent="0.3">
      <c r="A48" s="6">
        <v>4300</v>
      </c>
      <c r="B48" s="5">
        <v>5.6170906057874078E-4</v>
      </c>
    </row>
    <row r="49" spans="1:2" x14ac:dyDescent="0.3">
      <c r="A49" s="6">
        <v>4400</v>
      </c>
      <c r="B49" s="5">
        <v>5.4498007372182154E-4</v>
      </c>
    </row>
    <row r="50" spans="1:2" x14ac:dyDescent="0.3">
      <c r="A50" s="6">
        <v>4500</v>
      </c>
      <c r="B50" s="5">
        <v>5.2918739229660706E-4</v>
      </c>
    </row>
    <row r="51" spans="1:2" x14ac:dyDescent="0.3">
      <c r="A51" s="6">
        <v>4600</v>
      </c>
      <c r="B51" s="5">
        <v>5.1425569019053865E-4</v>
      </c>
    </row>
    <row r="52" spans="1:2" x14ac:dyDescent="0.3">
      <c r="A52" s="6">
        <v>4700</v>
      </c>
      <c r="B52" s="5">
        <v>5.0011743978337683E-4</v>
      </c>
    </row>
    <row r="53" spans="1:2" x14ac:dyDescent="0.3">
      <c r="A53" s="6">
        <v>4800</v>
      </c>
      <c r="B53" s="5">
        <v>4.8671193420411182E-4</v>
      </c>
    </row>
    <row r="54" spans="1:2" x14ac:dyDescent="0.3">
      <c r="A54" s="6">
        <v>4900</v>
      </c>
      <c r="B54" s="5">
        <v>4.7398445244637978E-4</v>
      </c>
    </row>
    <row r="55" spans="1:2" x14ac:dyDescent="0.3">
      <c r="A55" s="6">
        <v>5000</v>
      </c>
      <c r="B55" s="5">
        <v>4.6188554365211572E-4</v>
      </c>
    </row>
    <row r="56" spans="1:2" x14ac:dyDescent="0.3">
      <c r="A56" s="6">
        <v>5100</v>
      </c>
      <c r="B56" s="5">
        <v>4.5037041124672262E-4</v>
      </c>
    </row>
    <row r="57" spans="1:2" x14ac:dyDescent="0.3">
      <c r="A57" s="6">
        <v>5200</v>
      </c>
      <c r="B57" s="5">
        <v>4.3939838109690812E-4</v>
      </c>
    </row>
    <row r="58" spans="1:2" x14ac:dyDescent="0.3">
      <c r="A58" s="6">
        <v>5300</v>
      </c>
      <c r="B58" s="5">
        <v>4.289324406589287E-4</v>
      </c>
    </row>
    <row r="59" spans="1:2" x14ac:dyDescent="0.3">
      <c r="A59" s="6">
        <v>5400</v>
      </c>
      <c r="B59" s="5">
        <v>4.1893883833880961E-4</v>
      </c>
    </row>
    <row r="60" spans="1:2" x14ac:dyDescent="0.3">
      <c r="A60" s="6">
        <v>5500</v>
      </c>
      <c r="B60" s="5">
        <v>4.0938673411188752E-4</v>
      </c>
    </row>
    <row r="61" spans="1:2" x14ac:dyDescent="0.3">
      <c r="A61" s="6">
        <v>5600</v>
      </c>
      <c r="B61" s="5">
        <v>4.0024789393455052E-4</v>
      </c>
    </row>
    <row r="62" spans="1:2" x14ac:dyDescent="0.3">
      <c r="A62" s="6">
        <v>5700</v>
      </c>
      <c r="B62" s="5">
        <v>3.9149642169585832E-4</v>
      </c>
    </row>
    <row r="63" spans="1:2" x14ac:dyDescent="0.3">
      <c r="A63" s="6">
        <v>5800</v>
      </c>
      <c r="B63" s="5">
        <v>3.8310852345376471E-4</v>
      </c>
    </row>
    <row r="64" spans="1:2" x14ac:dyDescent="0.3">
      <c r="A64" s="6">
        <v>5900</v>
      </c>
      <c r="B64" s="5">
        <v>3.7506229952284951E-4</v>
      </c>
    </row>
    <row r="65" spans="1:2" x14ac:dyDescent="0.3">
      <c r="A65" s="6">
        <v>6000</v>
      </c>
      <c r="B65" s="5">
        <v>3.6733756066112551E-4</v>
      </c>
    </row>
    <row r="66" spans="1:2" x14ac:dyDescent="0.3">
      <c r="A66" s="6">
        <v>6100</v>
      </c>
      <c r="B66" s="5">
        <v>3.5991566516881173E-4</v>
      </c>
    </row>
    <row r="67" spans="1:2" x14ac:dyDescent="0.3">
      <c r="A67" s="6">
        <v>6200</v>
      </c>
      <c r="B67" s="5">
        <v>3.5277937418358798E-4</v>
      </c>
    </row>
    <row r="68" spans="1:2" x14ac:dyDescent="0.3">
      <c r="A68" s="6">
        <v>6300</v>
      </c>
      <c r="B68" s="5">
        <v>3.4591272285150991E-4</v>
      </c>
    </row>
    <row r="69" spans="1:2" x14ac:dyDescent="0.3">
      <c r="A69" s="6">
        <v>6400</v>
      </c>
      <c r="B69" s="5">
        <v>3.3930090538421401E-4</v>
      </c>
    </row>
    <row r="70" spans="1:2" x14ac:dyDescent="0.3">
      <c r="A70" s="6">
        <v>6500</v>
      </c>
      <c r="B70" s="5">
        <v>3.3293017229214431E-4</v>
      </c>
    </row>
    <row r="71" spans="1:2" x14ac:dyDescent="0.3">
      <c r="A71" s="6">
        <v>6600</v>
      </c>
      <c r="B71" s="5">
        <v>3.267877383196245E-4</v>
      </c>
    </row>
    <row r="72" spans="1:2" x14ac:dyDescent="0.3">
      <c r="A72" s="6">
        <v>6700</v>
      </c>
      <c r="B72" s="5">
        <v>3.2086169980757168E-4</v>
      </c>
    </row>
    <row r="73" spans="1:2" x14ac:dyDescent="0.3">
      <c r="A73" s="6">
        <v>6800</v>
      </c>
      <c r="B73" s="5">
        <v>3.1514096037973867E-4</v>
      </c>
    </row>
    <row r="74" spans="1:2" x14ac:dyDescent="0.3">
      <c r="A74" s="6">
        <v>6900</v>
      </c>
      <c r="B74" s="5">
        <v>3.0961516399335601E-4</v>
      </c>
    </row>
    <row r="75" spans="1:2" x14ac:dyDescent="0.3">
      <c r="A75" s="6">
        <v>7000</v>
      </c>
      <c r="B75" s="5">
        <v>3.0427463451905909E-4</v>
      </c>
    </row>
    <row r="76" spans="1:2" x14ac:dyDescent="0.3">
      <c r="A76" s="6">
        <v>7100</v>
      </c>
      <c r="B76" s="5">
        <v>2.991103211211872E-4</v>
      </c>
    </row>
    <row r="77" spans="1:2" x14ac:dyDescent="0.3">
      <c r="A77" s="6">
        <v>7200</v>
      </c>
      <c r="B77" s="5">
        <v>2.9411374880087708E-4</v>
      </c>
    </row>
    <row r="78" spans="1:2" x14ac:dyDescent="0.3">
      <c r="A78" s="6">
        <v>7300</v>
      </c>
      <c r="B78" s="5">
        <v>2.8927697354310072E-4</v>
      </c>
    </row>
    <row r="79" spans="1:2" x14ac:dyDescent="0.3">
      <c r="A79" s="6">
        <v>7400</v>
      </c>
      <c r="B79" s="5">
        <v>2.8459254157664363E-4</v>
      </c>
    </row>
    <row r="80" spans="1:2" x14ac:dyDescent="0.3">
      <c r="A80" s="6">
        <v>7500</v>
      </c>
      <c r="B80" s="5">
        <v>2.8005345231488639E-4</v>
      </c>
    </row>
    <row r="81" spans="1:2" x14ac:dyDescent="0.3">
      <c r="A81" s="6">
        <v>7600</v>
      </c>
      <c r="B81" s="5">
        <v>2.7565312459621719E-4</v>
      </c>
    </row>
    <row r="82" spans="1:2" x14ac:dyDescent="0.3">
      <c r="A82" s="6">
        <v>7700</v>
      </c>
      <c r="B82" s="5">
        <v>2.7138536588732442E-4</v>
      </c>
    </row>
    <row r="83" spans="1:2" x14ac:dyDescent="0.3">
      <c r="A83" s="6">
        <v>7800</v>
      </c>
      <c r="B83" s="5">
        <v>2.6724434415117141E-4</v>
      </c>
    </row>
    <row r="84" spans="1:2" x14ac:dyDescent="0.3">
      <c r="A84" s="6">
        <v>7900</v>
      </c>
      <c r="B84" s="5">
        <v>2.6322456211521429E-4</v>
      </c>
    </row>
    <row r="85" spans="1:2" x14ac:dyDescent="0.3">
      <c r="A85" s="6">
        <v>8000</v>
      </c>
      <c r="B85" s="5">
        <v>2.593208337049626E-4</v>
      </c>
    </row>
    <row r="86" spans="1:2" x14ac:dyDescent="0.3">
      <c r="A86" s="6">
        <v>8100</v>
      </c>
      <c r="B86" s="5">
        <v>2.5552826243380552E-4</v>
      </c>
    </row>
    <row r="87" spans="1:2" x14ac:dyDescent="0.3">
      <c r="A87" s="6">
        <v>8200</v>
      </c>
      <c r="B87" s="5">
        <v>2.5184222156273008E-4</v>
      </c>
    </row>
    <row r="88" spans="1:2" x14ac:dyDescent="0.3">
      <c r="A88" s="6">
        <v>8300</v>
      </c>
      <c r="B88" s="5">
        <v>2.4825833586356212E-4</v>
      </c>
    </row>
    <row r="89" spans="1:2" x14ac:dyDescent="0.3">
      <c r="A89" s="6">
        <v>8400</v>
      </c>
      <c r="B89" s="5">
        <v>2.4477246483691709E-4</v>
      </c>
    </row>
    <row r="90" spans="1:2" x14ac:dyDescent="0.3">
      <c r="A90" s="6">
        <v>8500</v>
      </c>
      <c r="B90" s="5">
        <v>2.4138068725165001E-4</v>
      </c>
    </row>
    <row r="91" spans="1:2" x14ac:dyDescent="0.3">
      <c r="A91" s="6">
        <v>8600</v>
      </c>
      <c r="B91" s="5">
        <v>2.3807928688625819E-4</v>
      </c>
    </row>
    <row r="92" spans="1:2" x14ac:dyDescent="0.3">
      <c r="A92" s="6">
        <v>8700</v>
      </c>
      <c r="B92" s="5">
        <v>2.3486473936490499E-4</v>
      </c>
    </row>
    <row r="93" spans="1:2" x14ac:dyDescent="0.3">
      <c r="A93" s="6">
        <v>8800</v>
      </c>
      <c r="B93" s="5">
        <v>2.317336999915449E-4</v>
      </c>
    </row>
    <row r="94" spans="1:2" x14ac:dyDescent="0.3">
      <c r="A94" s="6">
        <v>8900</v>
      </c>
      <c r="B94" s="5">
        <v>2.2868299249515281E-4</v>
      </c>
    </row>
    <row r="95" spans="1:2" x14ac:dyDescent="0.3">
      <c r="A95" s="6">
        <v>9000</v>
      </c>
      <c r="B95" s="5">
        <v>2.2570959860766259E-4</v>
      </c>
    </row>
    <row r="96" spans="1:2" x14ac:dyDescent="0.3">
      <c r="A96" s="6">
        <v>9100</v>
      </c>
      <c r="B96" s="5">
        <v>2.228106484037989E-4</v>
      </c>
    </row>
    <row r="97" spans="1:2" x14ac:dyDescent="0.3">
      <c r="A97" s="6">
        <v>9200</v>
      </c>
      <c r="B97" s="5">
        <v>2.1998341133874021E-4</v>
      </c>
    </row>
    <row r="98" spans="1:2" x14ac:dyDescent="0.3">
      <c r="A98" s="6">
        <v>9300</v>
      </c>
      <c r="B98" s="5">
        <v>2.17225287925682E-4</v>
      </c>
    </row>
    <row r="99" spans="1:2" x14ac:dyDescent="0.3">
      <c r="A99" s="6">
        <v>9400</v>
      </c>
      <c r="B99" s="5">
        <v>2.145338020007618E-4</v>
      </c>
    </row>
    <row r="100" spans="1:2" x14ac:dyDescent="0.3">
      <c r="A100" s="6">
        <v>9500</v>
      </c>
      <c r="B100" s="5">
        <v>2.1190659352762401E-4</v>
      </c>
    </row>
    <row r="101" spans="1:2" x14ac:dyDescent="0.3">
      <c r="A101" s="6">
        <v>9600</v>
      </c>
      <c r="B101" s="5">
        <v>2.0934141189836011E-4</v>
      </c>
    </row>
    <row r="102" spans="1:2" x14ac:dyDescent="0.3">
      <c r="A102" s="6">
        <v>9700</v>
      </c>
      <c r="B102" s="5">
        <v>2.0683610969141739E-4</v>
      </c>
    </row>
    <row r="103" spans="1:2" x14ac:dyDescent="0.3">
      <c r="A103" s="6">
        <v>9800</v>
      </c>
      <c r="B103" s="5">
        <v>2.043886368505943E-4</v>
      </c>
    </row>
    <row r="104" spans="1:2" x14ac:dyDescent="0.3">
      <c r="A104" s="6">
        <v>9900</v>
      </c>
      <c r="B104" s="5">
        <v>2.0199703525243699E-4</v>
      </c>
    </row>
    <row r="105" spans="1:2" x14ac:dyDescent="0.3">
      <c r="A105" s="6">
        <v>10000</v>
      </c>
      <c r="B105" s="5">
        <v>1.9965943363223519E-4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Pesos</vt:lpstr>
      <vt:lpstr>Comprobación</vt:lpstr>
      <vt:lpstr>Retropropagación</vt:lpstr>
      <vt:lpstr>Pesos iniciales</vt:lpstr>
      <vt:lpstr>Entrenamiento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Ernesto André González Castro</cp:lastModifiedBy>
  <dcterms:created xsi:type="dcterms:W3CDTF">2026-10-22T01:05:18Z</dcterms:created>
  <dcterms:modified xsi:type="dcterms:W3CDTF">2026-10-22T01:05:37Z</dcterms:modified>
</cp:coreProperties>
</file>